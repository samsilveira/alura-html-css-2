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529" codeName="{5022B3EB-BCE5-7840-4BB8-8062D341818C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Marketing\Desktop\Horários - Turma ENEM 2022\"/>
    </mc:Choice>
  </mc:AlternateContent>
  <xr:revisionPtr revIDLastSave="0" documentId="13_ncr:1_{5A2B8EAA-09FA-43A6-A913-7B5F9AF69950}" xr6:coauthVersionLast="47" xr6:coauthVersionMax="47" xr10:uidLastSave="{00000000-0000-0000-0000-000000000000}"/>
  <bookViews>
    <workbookView xWindow="-108" yWindow="-108" windowWidth="23256" windowHeight="12576" tabRatio="663" activeTab="5" xr2:uid="{00000000-000D-0000-FFFF-FFFF00000000}"/>
  </bookViews>
  <sheets>
    <sheet name="TURMA ENEM" sheetId="1" r:id="rId1"/>
    <sheet name="TURMA ENEM (2)" sheetId="9" state="hidden" r:id="rId2"/>
    <sheet name="TURMA ENEM (4)" sheetId="22" state="hidden" r:id="rId3"/>
    <sheet name="COLÉGIO" sheetId="11" state="hidden" r:id="rId4"/>
    <sheet name="COLÉGIO (2)" sheetId="12" state="hidden" r:id="rId5"/>
    <sheet name="TURMA ENEM (3)" sheetId="33" r:id="rId6"/>
    <sheet name="COLÉGIO - 1ª SÉRIE" sheetId="20" r:id="rId7"/>
    <sheet name="COLÉGIO - 1ª SÉRIE (2)" sheetId="23" state="hidden" r:id="rId8"/>
    <sheet name="COLÉGIO - 1ª SÉRIE (3)" sheetId="26" r:id="rId9"/>
    <sheet name="COLÉGIO - 2ª SÉRIE (3)" sheetId="27" r:id="rId10"/>
    <sheet name="COLÉGIO - 3ª SÉRIE (2)" sheetId="28" r:id="rId11"/>
    <sheet name="COLÉGIO - 2ª SÉRIE" sheetId="21" r:id="rId12"/>
    <sheet name="COLÉGIO - 2ª SÉRIE (2)" sheetId="24" state="hidden" r:id="rId13"/>
    <sheet name="COLÉGIO - 3ª SÉRIE" sheetId="25" r:id="rId14"/>
    <sheet name="COLÉGIO (3)" sheetId="17" r:id="rId15"/>
    <sheet name="TURMA ENEM - ESP" sheetId="8" r:id="rId16"/>
    <sheet name="TURMA ENEM - ESP (2)" sheetId="10" r:id="rId17"/>
    <sheet name="TURMA ENEM PLUS" sheetId="4" r:id="rId18"/>
    <sheet name="REVISÃO URCA" sheetId="2" r:id="rId19"/>
    <sheet name="Curso de Férias" sheetId="7" r:id="rId20"/>
  </sheets>
  <definedNames>
    <definedName name="dataSem" localSheetId="15">'TURMA ENEM - ESP'!$D$23</definedName>
    <definedName name="dataSem" localSheetId="16">'TURMA ENEM - ESP (2)'!$E$23</definedName>
    <definedName name="dataSem" localSheetId="1">'TURMA ENEM (2)'!$D$23</definedName>
    <definedName name="dataSem" localSheetId="5">'TURMA ENEM (3)'!$D$23</definedName>
    <definedName name="dataSem" localSheetId="2">'TURMA ENEM (4)'!$D$23</definedName>
    <definedName name="dataSem">'TURMA ENEM'!$D$23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26" i="33" l="1"/>
  <c r="B26" i="33"/>
  <c r="B50" i="33"/>
  <c r="B62" i="33"/>
  <c r="B74" i="33"/>
  <c r="B86" i="33"/>
  <c r="B38" i="33"/>
  <c r="B106" i="1"/>
  <c r="B90" i="1"/>
  <c r="B74" i="1"/>
  <c r="B58" i="1"/>
  <c r="B42" i="1"/>
  <c r="B26" i="1"/>
  <c r="B43" i="22"/>
  <c r="B26" i="22"/>
  <c r="B111" i="22"/>
  <c r="B94" i="22"/>
  <c r="B77" i="22"/>
  <c r="B60" i="22"/>
  <c r="J43" i="22"/>
  <c r="J26" i="22"/>
  <c r="B122" i="9"/>
  <c r="B106" i="9"/>
  <c r="B90" i="9"/>
  <c r="B74" i="9"/>
  <c r="B58" i="9"/>
  <c r="B42" i="9"/>
  <c r="B26" i="9"/>
  <c r="B55" i="10"/>
  <c r="B82" i="8"/>
  <c r="B68" i="8"/>
  <c r="B54" i="8"/>
  <c r="B40" i="8"/>
  <c r="B103" i="10"/>
  <c r="B87" i="10"/>
  <c r="B71" i="10"/>
</calcChain>
</file>

<file path=xl/sharedStrings.xml><?xml version="1.0" encoding="utf-8"?>
<sst xmlns="http://schemas.openxmlformats.org/spreadsheetml/2006/main" count="4534" uniqueCount="320">
  <si>
    <t>SEGUNDA</t>
  </si>
  <si>
    <t>TERÇA</t>
  </si>
  <si>
    <t>QUARTA</t>
  </si>
  <si>
    <t>QUINTA</t>
  </si>
  <si>
    <t>SEXTA</t>
  </si>
  <si>
    <t>1ª AULA</t>
  </si>
  <si>
    <t>BIOLOGIA 01</t>
  </si>
  <si>
    <t>HISTÓRIA 01</t>
  </si>
  <si>
    <t>JORDANNA ALMEIDA</t>
  </si>
  <si>
    <t>NATUCHA PEDROZA</t>
  </si>
  <si>
    <t>CATARINA JAMACARU</t>
  </si>
  <si>
    <t>ALINE RODRIGUES</t>
  </si>
  <si>
    <t>2ª AULA</t>
  </si>
  <si>
    <t>MATEMÁTICA 02</t>
  </si>
  <si>
    <t>FÍSICA 03</t>
  </si>
  <si>
    <t>FÍSICA 01</t>
  </si>
  <si>
    <t>FILOSOFIA</t>
  </si>
  <si>
    <t>ZILDEMBERGUE DE SÁ</t>
  </si>
  <si>
    <t>3ª AULA</t>
  </si>
  <si>
    <t>REDAÇÃO</t>
  </si>
  <si>
    <t>QUÍMICA 01</t>
  </si>
  <si>
    <t>MARCOS SILVA</t>
  </si>
  <si>
    <t>DANIEL RUFINO</t>
  </si>
  <si>
    <t>INTERVALO</t>
  </si>
  <si>
    <t>4ª AULA</t>
  </si>
  <si>
    <t>LITERATURA</t>
  </si>
  <si>
    <t>INTERPRETAÇÃO 02</t>
  </si>
  <si>
    <t>ATENEIA SULIANO</t>
  </si>
  <si>
    <t>LIZIANE MENEZES</t>
  </si>
  <si>
    <t>JUNIOR</t>
  </si>
  <si>
    <t>5ª AULA</t>
  </si>
  <si>
    <t>FÍSICA 04</t>
  </si>
  <si>
    <t>QUÍMICA 02</t>
  </si>
  <si>
    <t>MATEMÁTICA 01</t>
  </si>
  <si>
    <t>GEOGRAFIA 01</t>
  </si>
  <si>
    <t>VASCO VASCONCELOS</t>
  </si>
  <si>
    <t>LEVY BRUNO</t>
  </si>
  <si>
    <t>CARLOS CASTRO</t>
  </si>
  <si>
    <t>GEORGE WILTON</t>
  </si>
  <si>
    <t>6ª AULA</t>
  </si>
  <si>
    <t>SOCIOLOGIA</t>
  </si>
  <si>
    <t>FÍSICA 02</t>
  </si>
  <si>
    <t>MATEMÁTICA 04</t>
  </si>
  <si>
    <t>QUÍMICA 04</t>
  </si>
  <si>
    <t>HISTÓRIA 02</t>
  </si>
  <si>
    <t>PEDRO ISRAEL</t>
  </si>
  <si>
    <t>DIEGO MAIA</t>
  </si>
  <si>
    <t>LUCAS LEITE</t>
  </si>
  <si>
    <t>EDWILKENS SOUSA</t>
  </si>
  <si>
    <t>ALEXANDRE NETO</t>
  </si>
  <si>
    <t>TARDE</t>
  </si>
  <si>
    <t>14h às 15h</t>
  </si>
  <si>
    <t>JORGE LUIS</t>
  </si>
  <si>
    <t>MICHEL ARTHAUD</t>
  </si>
  <si>
    <t>QUÍMICA 03</t>
  </si>
  <si>
    <t>BIOLOGIA 04</t>
  </si>
  <si>
    <t>ANA CLEIDE</t>
  </si>
  <si>
    <t>MATEMÁTICA 03</t>
  </si>
  <si>
    <t>HORÁRIO TURMAS ENEM 28/06 - 02/07</t>
  </si>
  <si>
    <t>14h às 15h30</t>
  </si>
  <si>
    <t>REPOSIÇÃO - LITERATURA</t>
  </si>
  <si>
    <t>BIOLOGIA</t>
  </si>
  <si>
    <t>FÍSICA</t>
  </si>
  <si>
    <t>HISTÓRIA</t>
  </si>
  <si>
    <t>GEOGRAFIA</t>
  </si>
  <si>
    <t>QUÍMICA</t>
  </si>
  <si>
    <t>GABRIEL AMGARTEN</t>
  </si>
  <si>
    <t>MÁRCIO MICHILES</t>
  </si>
  <si>
    <t>07:15 - 08:05</t>
  </si>
  <si>
    <t>08:05 - 08:55</t>
  </si>
  <si>
    <t>08:55 - 09:45</t>
  </si>
  <si>
    <t>09:45 - 10:15</t>
  </si>
  <si>
    <t>10:15 - 11:05</t>
  </si>
  <si>
    <t>11:05 - 11:55</t>
  </si>
  <si>
    <t>11:55 - 12:45</t>
  </si>
  <si>
    <t>MATEMÁTICA 05</t>
  </si>
  <si>
    <t>DOUGLAS</t>
  </si>
  <si>
    <t>JORGE</t>
  </si>
  <si>
    <t>LINGUAGENS</t>
  </si>
  <si>
    <t>ÍTALO FELIPE</t>
  </si>
  <si>
    <t>2° AULA</t>
  </si>
  <si>
    <t>1° AULA</t>
  </si>
  <si>
    <t>REPOSIÇÃO - FÍSICA 03</t>
  </si>
  <si>
    <t>16h às 17h30</t>
  </si>
  <si>
    <t>REPOSIÇÃO - BIOLOGIA 04</t>
  </si>
  <si>
    <t>REPOSIÇÃO - FÍSICA 02</t>
  </si>
  <si>
    <t>GEOGRAFIA 02</t>
  </si>
  <si>
    <t>BIOLOGIA 03</t>
  </si>
  <si>
    <t>IVANILDO PINHO</t>
  </si>
  <si>
    <t>EDIVAN BEZERRA</t>
  </si>
  <si>
    <t>DOUGLAS GOMES</t>
  </si>
  <si>
    <t>FLÁVIO LANDIM</t>
  </si>
  <si>
    <t>JUCIÊ LACERDA</t>
  </si>
  <si>
    <t>ALINE DUARTE</t>
  </si>
  <si>
    <t>MATEMÁTICA</t>
  </si>
  <si>
    <t>JORGE LUÍS</t>
  </si>
  <si>
    <t>BIOLOGIA 02</t>
  </si>
  <si>
    <t>JÚNIOR DE MATOS</t>
  </si>
  <si>
    <t>INTERPRETAÇÃO 01</t>
  </si>
  <si>
    <t>LIZIANE KARINE</t>
  </si>
  <si>
    <t>Inserir período data:</t>
  </si>
  <si>
    <t>GRAMÁTICA</t>
  </si>
  <si>
    <t>SALA 02</t>
  </si>
  <si>
    <t>SALA 03</t>
  </si>
  <si>
    <t>SALA 04</t>
  </si>
  <si>
    <t>SALA 05</t>
  </si>
  <si>
    <t>SALA 06</t>
  </si>
  <si>
    <t>JOSÉ LUCAS</t>
  </si>
  <si>
    <t>13/06 - 17/06</t>
  </si>
  <si>
    <t>CIêNCIAS HUMANAS</t>
  </si>
  <si>
    <t>MARCOS MANOEL</t>
  </si>
  <si>
    <t>SALA 01</t>
  </si>
  <si>
    <t>07:15 - 08:15</t>
  </si>
  <si>
    <t>08:15 - 09:15</t>
  </si>
  <si>
    <t>09:15 - 10:15</t>
  </si>
  <si>
    <t>13:00 - 15:15</t>
  </si>
  <si>
    <t>15:30 - 17:45</t>
  </si>
  <si>
    <t>18:30 - 20:45</t>
  </si>
  <si>
    <t>08:00 - 10:15</t>
  </si>
  <si>
    <t>10:30 - 12:45</t>
  </si>
  <si>
    <t>13:30 - 15:45</t>
  </si>
  <si>
    <t>CURSO DE FÉRIAS - SEMANA 01 - 04/07 - 08/07</t>
  </si>
  <si>
    <t>CURSO DE FÉRIAS - SEMANA 02 - 11/07 - 15/07</t>
  </si>
  <si>
    <t>10:15 - 10:35</t>
  </si>
  <si>
    <t>10:35 - 11:35</t>
  </si>
  <si>
    <t>11:35 - 12:35</t>
  </si>
  <si>
    <t>04/07 - 08/07</t>
  </si>
  <si>
    <t>CURSO DE FÉRIAS - MÓDULO NATUREZA</t>
  </si>
  <si>
    <t>CURSO DE FÉRIAS - MÓDULO LINGUAGENS E HUMANAS</t>
  </si>
  <si>
    <t>MARTT ANTERO</t>
  </si>
  <si>
    <t>HORÁRIO DE REPOSIÇÃO - 27/07</t>
  </si>
  <si>
    <t>TURMA 03</t>
  </si>
  <si>
    <t>TURMAS 04 E 05</t>
  </si>
  <si>
    <t>TURMA 06</t>
  </si>
  <si>
    <t>14:00 - 15:00</t>
  </si>
  <si>
    <t>15:00 - 16:00</t>
  </si>
  <si>
    <t>16:00 - 16:15</t>
  </si>
  <si>
    <t>16:15 - 17:15</t>
  </si>
  <si>
    <t>07:10 - 08:00</t>
  </si>
  <si>
    <t>08:00 - 08:50</t>
  </si>
  <si>
    <t>08:50 - 09:40</t>
  </si>
  <si>
    <t>09:40 - 10:10</t>
  </si>
  <si>
    <t>10:10 - 11:00</t>
  </si>
  <si>
    <t>11:00 - 11:50</t>
  </si>
  <si>
    <t>11:50 - 12:30</t>
  </si>
  <si>
    <t>12:30 - 14:00</t>
  </si>
  <si>
    <t>14:00 - 14:50</t>
  </si>
  <si>
    <t>14:50 - 15:40</t>
  </si>
  <si>
    <t>15:40 - 16:00</t>
  </si>
  <si>
    <t>16:00 - 16:50</t>
  </si>
  <si>
    <t>16:50 - 17:40</t>
  </si>
  <si>
    <t>17:40 - 18:30</t>
  </si>
  <si>
    <t>AULA ATIVIDADE</t>
  </si>
  <si>
    <t>INTERPRETAÇÃO DE TEXTO</t>
  </si>
  <si>
    <t>CRISTIANA LIMA</t>
  </si>
  <si>
    <t>MONITORIA</t>
  </si>
  <si>
    <t>PROJETO DE VIDA</t>
  </si>
  <si>
    <t>IANE TELÉCIO</t>
  </si>
  <si>
    <t>ITINERÁRIO DE NATUREZA</t>
  </si>
  <si>
    <t>ITINERÁRIO DE QUÍMICA</t>
  </si>
  <si>
    <t>ALMOÇO</t>
  </si>
  <si>
    <t>ITINERÁRIO DE LINGUAGENS</t>
  </si>
  <si>
    <t>PAULO JÚNIOR</t>
  </si>
  <si>
    <t>INGLÊS</t>
  </si>
  <si>
    <t>ITINERÁRIO DE MATEMÁTICA</t>
  </si>
  <si>
    <t>PROVA</t>
  </si>
  <si>
    <t>10:45 - 11:45</t>
  </si>
  <si>
    <t>11:45 - 12:45</t>
  </si>
  <si>
    <t xml:space="preserve">HORÁRIO ESPECIAL </t>
  </si>
  <si>
    <t>COLÉGIO EVOLUÇÃO - 1º Ano - 15/08 - 19/08</t>
  </si>
  <si>
    <t>17:20 - 18:20</t>
  </si>
  <si>
    <t>3° AULA</t>
  </si>
  <si>
    <t>10:15 - 10:45</t>
  </si>
  <si>
    <t>ONLINE / SALA 02</t>
  </si>
  <si>
    <t>ELDER VIDAL</t>
  </si>
  <si>
    <t>EDUCAÇÃO FÍSICA</t>
  </si>
  <si>
    <t>10/10 - 14/10</t>
  </si>
  <si>
    <t>AULÃO ONLINE</t>
  </si>
  <si>
    <t>16:00 - 17:00</t>
  </si>
  <si>
    <t>ARTE</t>
  </si>
  <si>
    <t>17:00 - 18:00</t>
  </si>
  <si>
    <t>09:10 - 10:00</t>
  </si>
  <si>
    <t>10:00 - 10:50</t>
  </si>
  <si>
    <t>10:50 - 11:40</t>
  </si>
  <si>
    <t>11:40 - 12:30</t>
  </si>
  <si>
    <t>PAUSA PARA ALMOÇO</t>
  </si>
  <si>
    <r>
      <t xml:space="preserve">BIOLOGIA </t>
    </r>
    <r>
      <rPr>
        <sz val="10"/>
        <color rgb="FFFF0000"/>
        <rFont val="Calibri"/>
        <family val="2"/>
        <scheme val="minor"/>
      </rPr>
      <t>15:40-16:30</t>
    </r>
  </si>
  <si>
    <t>COLÉGIO EVOLUÇÃO</t>
  </si>
  <si>
    <t>REVISÃO CAMISA 10 - HORÁRIO ESPECIAL - 14/11</t>
  </si>
  <si>
    <t>ITINERÁRIO</t>
  </si>
  <si>
    <t>CRISTIANA LIMA / NATUCHA</t>
  </si>
  <si>
    <t>AVALIAÇÃO</t>
  </si>
  <si>
    <t>GASTRONOMIA / INVESTIG.</t>
  </si>
  <si>
    <t>PATRÍCIA / ÍTALO</t>
  </si>
  <si>
    <t>VICTOR MARCHIORO</t>
  </si>
  <si>
    <t>COLÉGIO EVOLUÇÃO - 2ª SÉRIE - 00/00 - 00/00</t>
  </si>
  <si>
    <t>JOÃO FILHO</t>
  </si>
  <si>
    <t>08:55 - 09:10</t>
  </si>
  <si>
    <t>10:50 - 11:05</t>
  </si>
  <si>
    <t>23/01 - 27/01</t>
  </si>
  <si>
    <t>TURMA 01</t>
  </si>
  <si>
    <t>TURMA 02</t>
  </si>
  <si>
    <t>TURMA 04</t>
  </si>
  <si>
    <t>ESTÚDIO</t>
  </si>
  <si>
    <t>3ª SÉRIE</t>
  </si>
  <si>
    <t>ONLINE</t>
  </si>
  <si>
    <t>ITALO FELIPE</t>
  </si>
  <si>
    <t>COLÉGIO EVOLUÇÃO - 1ª SÉRIE - 23/01 - 27/01</t>
  </si>
  <si>
    <t>RESOLUÇÃO DE ATIVIDADES</t>
  </si>
  <si>
    <t>ENCONTRO COM A PSICÓLOGA</t>
  </si>
  <si>
    <t>11:50 - 12:40</t>
  </si>
  <si>
    <t>12:40 - 14:00</t>
  </si>
  <si>
    <t>AVALIAÇÃO DE LINGUAGENS E CIÊNCIAS HUMANAS</t>
  </si>
  <si>
    <t>AVALIAÇÃO DE CIÊNCIAS DA NATUREZA E MATEMÁTICA</t>
  </si>
  <si>
    <t>COLÉGIO EVOLUÇÃO - 2ª SÉRIE - 23/01 - 27/01</t>
  </si>
  <si>
    <t>MATEMÁTICA I</t>
  </si>
  <si>
    <t>PRODUÇÃO TEXTUAL</t>
  </si>
  <si>
    <t>MATEMÁTICA II</t>
  </si>
  <si>
    <t>BIOLOGIA I</t>
  </si>
  <si>
    <t>BIOLOGIA II</t>
  </si>
  <si>
    <t>COLÉGIO EVOLUÇÃO - 1ª SÉRIE</t>
  </si>
  <si>
    <t>COLÉGIO EVOLUÇÃO - 2ª SÉRIE</t>
  </si>
  <si>
    <t>NATAM GAMA</t>
  </si>
  <si>
    <t>HISTÓRIA BÁSICA</t>
  </si>
  <si>
    <t>QUÍMICA BÁSICA</t>
  </si>
  <si>
    <t>FÍSICA BÁSICA</t>
  </si>
  <si>
    <t>COLÉGIO EVOLUÇÃO - 3ª SÉRIE</t>
  </si>
  <si>
    <t>08:55 - 09:40</t>
  </si>
  <si>
    <t>12:45 - 14:00</t>
  </si>
  <si>
    <t>16:00 - 16:20</t>
  </si>
  <si>
    <t>16:20 - 17:20</t>
  </si>
  <si>
    <t>HORÁRIO DE ESTUDO</t>
  </si>
  <si>
    <t>MOMENTO COM A COORDENAÇÃO</t>
  </si>
  <si>
    <t>BIOLOGIA - BASE</t>
  </si>
  <si>
    <t>MATEMÁTICA - BASE</t>
  </si>
  <si>
    <t>QUÍMICA - BASE</t>
  </si>
  <si>
    <t>FÍSICA - BASE</t>
  </si>
  <si>
    <t>HORÁRIO - ENEM PLUS - 30/01 - 03/02</t>
  </si>
  <si>
    <t>CARDÁPIO DA SEMANA</t>
  </si>
  <si>
    <t>PROTEÍNA</t>
  </si>
  <si>
    <t>PEITO DE FRANGO AO MOLHO</t>
  </si>
  <si>
    <t>BIFE DE PANELA</t>
  </si>
  <si>
    <t>ESTROGONOFE</t>
  </si>
  <si>
    <t>FILÉ DE FRANGO A MILANESA</t>
  </si>
  <si>
    <t>CARNE DE SOL ACEBOLADA</t>
  </si>
  <si>
    <t>ARROZ</t>
  </si>
  <si>
    <t>FEIJÃO CARIOCA</t>
  </si>
  <si>
    <t>FEIJÃO PRETO</t>
  </si>
  <si>
    <t>BATATA PALHA</t>
  </si>
  <si>
    <t>MACARRÃO AO ALHO E ÓLEO</t>
  </si>
  <si>
    <t>FAROFA</t>
  </si>
  <si>
    <t>MACARRÃO AO MOLHO</t>
  </si>
  <si>
    <t>CUSCUZ COM CALABRESA</t>
  </si>
  <si>
    <t>INTEPRETAÇÃO 02</t>
  </si>
  <si>
    <t>INTEPRETAÇÃO 01</t>
  </si>
  <si>
    <t xml:space="preserve"> </t>
  </si>
  <si>
    <t>CARLOS LACERDA</t>
  </si>
  <si>
    <r>
      <t xml:space="preserve">MATEMÁTICA BÁSICA     </t>
    </r>
    <r>
      <rPr>
        <sz val="13"/>
        <color theme="1"/>
        <rFont val="Calibri"/>
        <family val="2"/>
        <scheme val="minor"/>
      </rPr>
      <t>VASCO VASCONCELOS</t>
    </r>
  </si>
  <si>
    <t>LABORATÓRIO DE REDAÇÃO</t>
  </si>
  <si>
    <t>ANA CLEIDE BATISTA</t>
  </si>
  <si>
    <t>MATEMÁTICA 4</t>
  </si>
  <si>
    <t>BIOLOGIA 1</t>
  </si>
  <si>
    <t>FÍSICA 3</t>
  </si>
  <si>
    <t>FÍSICA 2</t>
  </si>
  <si>
    <t>FÍSICA 4</t>
  </si>
  <si>
    <t>QUÍMICA 3</t>
  </si>
  <si>
    <t>FÍSICA 1</t>
  </si>
  <si>
    <t>BIOLOGIA 3</t>
  </si>
  <si>
    <t>HISTÓRIA 1</t>
  </si>
  <si>
    <t>MATEMÁTICA 5</t>
  </si>
  <si>
    <t>BIOLOGIA 2</t>
  </si>
  <si>
    <t>MATEMÁTICA 2</t>
  </si>
  <si>
    <t>HISTÓRIA 2</t>
  </si>
  <si>
    <t>QUÍMICA 2</t>
  </si>
  <si>
    <t>INTEPRETAÇÃO 1</t>
  </si>
  <si>
    <t>BIOLOGIA 4</t>
  </si>
  <si>
    <t>QUÍMICA 1</t>
  </si>
  <si>
    <t>MATEMÁTICA 1</t>
  </si>
  <si>
    <t>INTEPRETAÇÃO 2</t>
  </si>
  <si>
    <t>MATEMÁTICA 3</t>
  </si>
  <si>
    <t>GEOGRAFIA 1</t>
  </si>
  <si>
    <t>GEOGRAFIA 2</t>
  </si>
  <si>
    <t>ATUALIDADES</t>
  </si>
  <si>
    <t>COLÉGIO EVOLUÇÃO - 1ª SÉRIE - 27/03 - 31/03</t>
  </si>
  <si>
    <t>COLÉGIO EVOLUÇÃO - 2ª SÉRIE - 27/03 - 31/03</t>
  </si>
  <si>
    <t>COLÉGIO EVOLUÇÃO - 3ª SÉRIE - 27/03 - 31/03</t>
  </si>
  <si>
    <t>ÍTALO FELIPE / PATRÍCIA</t>
  </si>
  <si>
    <t>ITINERÁRIO DE HUMANAS</t>
  </si>
  <si>
    <t>ITINERÁRIO / LABORATÓRIO</t>
  </si>
  <si>
    <t>NATUCHA / CRISTIANA LIMA</t>
  </si>
  <si>
    <t>MATEMÁTICA BÁSICA</t>
  </si>
  <si>
    <t>LAURO JÚNIOR</t>
  </si>
  <si>
    <t>NATAN GAMA</t>
  </si>
  <si>
    <t>MARCOS SEVERIANO</t>
  </si>
  <si>
    <r>
      <t xml:space="preserve">REDAÇÃO </t>
    </r>
    <r>
      <rPr>
        <sz val="9"/>
        <color rgb="FFFF0000"/>
        <rFont val="Calibri"/>
        <family val="2"/>
        <scheme val="minor"/>
      </rPr>
      <t>15:00 - 16:00</t>
    </r>
  </si>
  <si>
    <t>HORÁRIO REVISÃO FMJ - 05/06 - 09/06</t>
  </si>
  <si>
    <t>08:30 - 09:40</t>
  </si>
  <si>
    <t>4° AULA</t>
  </si>
  <si>
    <t xml:space="preserve">QUÍMICA </t>
  </si>
  <si>
    <t>HORÁRIO REVISÃO URCA - 26/06 - 30/06</t>
  </si>
  <si>
    <t>07:15 - 08:25</t>
  </si>
  <si>
    <t>SEGUNDA - 03/07</t>
  </si>
  <si>
    <t>TERÇA - 04/07</t>
  </si>
  <si>
    <t>QUARTA - 05/07</t>
  </si>
  <si>
    <t>QUINTA - 06/07</t>
  </si>
  <si>
    <t>SÁBADO - 08/07</t>
  </si>
  <si>
    <t>SEXTA - 07/07</t>
  </si>
  <si>
    <t>CURSO DE FÉRIAS - MÓDULO MATEMÁTICA E REDAÇÃO</t>
  </si>
  <si>
    <t>10:00 - 11:10</t>
  </si>
  <si>
    <t>11:15 - 12:25</t>
  </si>
  <si>
    <t>14:00 - 15:10</t>
  </si>
  <si>
    <t>15:15 - 16:25</t>
  </si>
  <si>
    <t>HUMANAS</t>
  </si>
  <si>
    <r>
      <t xml:space="preserve">JORDANNA ALMEIDA         JÚNIOR DE MATOS       MARCOS SILVA                        </t>
    </r>
    <r>
      <rPr>
        <sz val="13"/>
        <color rgb="FFFF0000"/>
        <rFont val="Calibri"/>
        <family val="2"/>
        <scheme val="minor"/>
      </rPr>
      <t>8h - 11h</t>
    </r>
  </si>
  <si>
    <t>07:30 - 08:40</t>
  </si>
  <si>
    <t>08:40 - 09:50</t>
  </si>
  <si>
    <t>09:50 - 10:20</t>
  </si>
  <si>
    <t>10:20 - 11:30</t>
  </si>
  <si>
    <t>11:30 - 12:40</t>
  </si>
  <si>
    <t>BIOLOGIA 1/4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</si>
</sst>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b/>
      <i/>
      <sz val="16.5"/>
      <color theme="1"/>
      <name val="Arial"/>
      <family val="2"/>
    </font>
    <font>
      <sz val="10"/>
      <color theme="1"/>
      <name val="Times New Roman"/>
      <family val="1"/>
    </font>
    <font>
      <b/>
      <sz val="14"/>
      <color theme="1"/>
      <name val="Arial"/>
      <family val="2"/>
    </font>
    <font>
      <b/>
      <sz val="13"/>
      <color theme="1"/>
      <name val="Calibri"/>
      <family val="2"/>
      <scheme val="minor"/>
    </font>
    <font>
      <i/>
      <sz val="13"/>
      <color theme="1"/>
      <name val="Calibri"/>
      <family val="2"/>
      <scheme val="minor"/>
    </font>
    <font>
      <b/>
      <i/>
      <sz val="13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i/>
      <sz val="18"/>
      <color theme="1"/>
      <name val="Arial"/>
      <family val="2"/>
    </font>
    <font>
      <sz val="9"/>
      <color rgb="FFFF0000"/>
      <name val="Calibri"/>
      <family val="2"/>
      <scheme val="minor"/>
    </font>
    <font>
      <sz val="13"/>
      <color rgb="FFFF0000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ABDB77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C2E59B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71"/>
        <bgColor indexed="64"/>
      </patternFill>
    </fill>
    <fill>
      <patternFill patternType="solid">
        <fgColor rgb="FFFFFF9B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499984740745262"/>
        <bgColor indexed="64"/>
      </patternFill>
    </fill>
  </fills>
  <borders count="58">
    <border>
      <left/>
      <right/>
      <top/>
      <bottom/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/>
      <top style="thick">
        <color rgb="FF000000"/>
      </top>
      <bottom style="thick">
        <color rgb="FF000000"/>
      </bottom>
      <diagonal/>
    </border>
    <border>
      <left/>
      <right/>
      <top style="thick">
        <color rgb="FF000000"/>
      </top>
      <bottom style="thick">
        <color rgb="FF000000"/>
      </bottom>
      <diagonal/>
    </border>
    <border>
      <left/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ck">
        <color rgb="FF000000"/>
      </right>
      <top/>
      <bottom style="thick">
        <color rgb="FF000000"/>
      </bottom>
      <diagonal/>
    </border>
    <border>
      <left/>
      <right style="thick">
        <color rgb="FF000000"/>
      </right>
      <top/>
      <bottom style="thick">
        <color rgb="FF000000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/>
      <diagonal/>
    </border>
    <border>
      <left/>
      <right style="thick">
        <color rgb="FF000000"/>
      </right>
      <top/>
      <bottom/>
      <diagonal/>
    </border>
    <border>
      <left style="thick">
        <color rgb="FF000000"/>
      </left>
      <right style="thick">
        <color rgb="FF000000"/>
      </right>
      <top style="medium">
        <color theme="2"/>
      </top>
      <bottom style="thick">
        <color rgb="FF000000"/>
      </bottom>
      <diagonal/>
    </border>
    <border>
      <left/>
      <right/>
      <top style="thick">
        <color rgb="FF000000"/>
      </top>
      <bottom/>
      <diagonal/>
    </border>
    <border>
      <left style="thick">
        <color rgb="FF000000"/>
      </left>
      <right style="thick">
        <color rgb="FF000000"/>
      </right>
      <top/>
      <bottom/>
      <diagonal/>
    </border>
    <border>
      <left style="thick">
        <color rgb="FF000000"/>
      </left>
      <right/>
      <top/>
      <bottom/>
      <diagonal/>
    </border>
    <border>
      <left style="thick">
        <color rgb="FF000000"/>
      </left>
      <right/>
      <top style="thick">
        <color rgb="FF000000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 style="double">
        <color indexed="64"/>
      </right>
      <top style="thick">
        <color indexed="64"/>
      </top>
      <bottom style="thick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/>
      <top/>
      <bottom style="thick">
        <color rgb="FF000000"/>
      </bottom>
      <diagonal/>
    </border>
    <border>
      <left/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/>
      <top/>
      <bottom style="thick">
        <color rgb="FF000000"/>
      </bottom>
      <diagonal/>
    </border>
    <border>
      <left style="thick">
        <color rgb="FF000000"/>
      </left>
      <right style="thick">
        <color indexed="64"/>
      </right>
      <top style="thick">
        <color rgb="FF000000"/>
      </top>
      <bottom/>
      <diagonal/>
    </border>
    <border>
      <left/>
      <right style="thick">
        <color indexed="64"/>
      </right>
      <top style="thick">
        <color rgb="FF000000"/>
      </top>
      <bottom style="thick">
        <color rgb="FF000000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ck">
        <color rgb="FF000000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rgb="FF000000"/>
      </bottom>
      <diagonal/>
    </border>
    <border>
      <left style="thick">
        <color indexed="64"/>
      </left>
      <right style="thick">
        <color indexed="64"/>
      </right>
      <top/>
      <bottom style="thick">
        <color rgb="FF000000"/>
      </bottom>
      <diagonal/>
    </border>
    <border>
      <left style="thick">
        <color rgb="FF000000"/>
      </left>
      <right style="thick">
        <color rgb="FF000000"/>
      </right>
      <top style="thick">
        <color indexed="64"/>
      </top>
      <bottom/>
      <diagonal/>
    </border>
    <border>
      <left/>
      <right style="thick">
        <color rgb="FF000000"/>
      </right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rgb="FF000000"/>
      </left>
      <right style="thick">
        <color indexed="64"/>
      </right>
      <top/>
      <bottom/>
      <diagonal/>
    </border>
    <border>
      <left style="thick">
        <color rgb="FF000000"/>
      </left>
      <right/>
      <top style="thick">
        <color indexed="64"/>
      </top>
      <bottom style="thick">
        <color indexed="64"/>
      </bottom>
      <diagonal/>
    </border>
    <border>
      <left style="thick">
        <color rgb="FF000000"/>
      </left>
      <right style="thick">
        <color rgb="FF000000"/>
      </right>
      <top/>
      <bottom style="thick">
        <color indexed="64"/>
      </bottom>
      <diagonal/>
    </border>
    <border>
      <left/>
      <right/>
      <top style="thick">
        <color indexed="64"/>
      </top>
      <bottom style="thick">
        <color rgb="FF000000"/>
      </bottom>
      <diagonal/>
    </border>
    <border>
      <left/>
      <right style="thick">
        <color rgb="FF000000"/>
      </right>
      <top/>
      <bottom style="thick">
        <color indexed="64"/>
      </bottom>
      <diagonal/>
    </border>
    <border>
      <left style="thick">
        <color rgb="FF000000"/>
      </left>
      <right style="thick">
        <color indexed="64"/>
      </right>
      <top/>
      <bottom style="thick">
        <color rgb="FF000000"/>
      </bottom>
      <diagonal/>
    </border>
    <border>
      <left style="thick">
        <color rgb="FF000000"/>
      </left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rgb="FF000000"/>
      </left>
      <right style="thick">
        <color indexed="64"/>
      </right>
      <top style="thick">
        <color rgb="FF000000"/>
      </top>
      <bottom style="thick">
        <color rgb="FF000000"/>
      </bottom>
      <diagonal/>
    </border>
    <border>
      <left style="thick">
        <color indexed="64"/>
      </left>
      <right style="thick">
        <color rgb="FF000000"/>
      </right>
      <top style="thick">
        <color rgb="FF000000"/>
      </top>
      <bottom/>
      <diagonal/>
    </border>
    <border>
      <left style="thick">
        <color indexed="64"/>
      </left>
      <right style="thick">
        <color rgb="FF000000"/>
      </right>
      <top/>
      <bottom style="thick">
        <color rgb="FF000000"/>
      </bottom>
      <diagonal/>
    </border>
    <border>
      <left style="thick">
        <color rgb="FF000000"/>
      </left>
      <right/>
      <top style="thick">
        <color rgb="FF000000"/>
      </top>
      <bottom style="thick">
        <color indexed="64"/>
      </bottom>
      <diagonal/>
    </border>
    <border>
      <left/>
      <right/>
      <top style="thick">
        <color rgb="FF000000"/>
      </top>
      <bottom style="thick">
        <color indexed="64"/>
      </bottom>
      <diagonal/>
    </border>
    <border>
      <left/>
      <right style="thick">
        <color rgb="FF000000"/>
      </right>
      <top style="thick">
        <color rgb="FF000000"/>
      </top>
      <bottom style="thick">
        <color indexed="64"/>
      </bottom>
      <diagonal/>
    </border>
    <border>
      <left style="thick">
        <color indexed="64"/>
      </left>
      <right/>
      <top style="thick">
        <color rgb="FF000000"/>
      </top>
      <bottom style="thick">
        <color indexed="64"/>
      </bottom>
      <diagonal/>
    </border>
    <border>
      <left/>
      <right style="thick">
        <color indexed="64"/>
      </right>
      <top style="thick">
        <color rgb="FF000000"/>
      </top>
      <bottom style="thick">
        <color indexed="64"/>
      </bottom>
      <diagonal/>
    </border>
    <border>
      <left style="thick">
        <color indexed="64"/>
      </left>
      <right style="thick">
        <color rgb="FF000000"/>
      </right>
      <top/>
      <bottom/>
      <diagonal/>
    </border>
    <border diagonalDown="1">
      <left style="thick">
        <color rgb="FF000000"/>
      </left>
      <right style="thick">
        <color rgb="FF000000"/>
      </right>
      <top style="thick">
        <color rgb="FF000000"/>
      </top>
      <bottom/>
      <diagonal style="thin">
        <color rgb="FF000000"/>
      </diagonal>
    </border>
    <border diagonalDown="1">
      <left style="thick">
        <color rgb="FF000000"/>
      </left>
      <right style="thick">
        <color rgb="FF000000"/>
      </right>
      <top/>
      <bottom style="thick">
        <color rgb="FF000000"/>
      </bottom>
      <diagonal style="thin">
        <color rgb="FF000000"/>
      </diagonal>
    </border>
    <border>
      <left style="thick">
        <color rgb="FF000000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rgb="FF000000"/>
      </top>
      <bottom/>
      <diagonal/>
    </border>
    <border>
      <left style="thick">
        <color rgb="FF000000"/>
      </left>
      <right style="thick">
        <color indexed="64"/>
      </right>
      <top style="thick">
        <color rgb="FF000000"/>
      </top>
      <bottom style="thick">
        <color indexed="64"/>
      </bottom>
      <diagonal/>
    </border>
  </borders>
  <cellStyleXfs count="1">
    <xf numFmtId="0" fontId="0" fillId="0" borderId="0"/>
  </cellStyleXfs>
  <cellXfs count="207">
    <xf numFmtId="0" fontId="0" fillId="0" borderId="0" xfId="0"/>
    <xf numFmtId="0" fontId="2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 wrapText="1"/>
    </xf>
    <xf numFmtId="0" fontId="7" fillId="0" borderId="10" xfId="0" applyFont="1" applyBorder="1"/>
    <xf numFmtId="0" fontId="7" fillId="0" borderId="0" xfId="0" applyFont="1"/>
    <xf numFmtId="0" fontId="5" fillId="2" borderId="0" xfId="0" applyFont="1" applyFill="1" applyAlignment="1">
      <alignment horizontal="center" vertical="center"/>
    </xf>
    <xf numFmtId="0" fontId="4" fillId="2" borderId="18" xfId="0" applyFont="1" applyFill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0" fillId="2" borderId="17" xfId="0" applyFill="1" applyBorder="1"/>
    <xf numFmtId="0" fontId="4" fillId="2" borderId="0" xfId="0" applyFont="1" applyFill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1" fillId="0" borderId="21" xfId="0" applyFont="1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0" fillId="2" borderId="0" xfId="0" applyFill="1"/>
    <xf numFmtId="0" fontId="2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22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0" fillId="0" borderId="17" xfId="0" applyBorder="1"/>
    <xf numFmtId="0" fontId="5" fillId="2" borderId="18" xfId="0" applyFont="1" applyFill="1" applyBorder="1" applyAlignment="1">
      <alignment horizontal="center" vertical="center"/>
    </xf>
    <xf numFmtId="0" fontId="4" fillId="2" borderId="28" xfId="0" applyFont="1" applyFill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29" xfId="0" applyFont="1" applyBorder="1" applyAlignment="1">
      <alignment horizontal="center" vertical="center"/>
    </xf>
    <xf numFmtId="0" fontId="4" fillId="0" borderId="30" xfId="0" applyFont="1" applyBorder="1" applyAlignment="1">
      <alignment horizontal="center" vertical="center"/>
    </xf>
    <xf numFmtId="0" fontId="4" fillId="0" borderId="23" xfId="0" applyFont="1" applyBorder="1" applyAlignment="1">
      <alignment horizontal="center" vertical="center"/>
    </xf>
    <xf numFmtId="0" fontId="4" fillId="0" borderId="33" xfId="0" applyFont="1" applyBorder="1" applyAlignment="1">
      <alignment horizontal="center" vertical="center"/>
    </xf>
    <xf numFmtId="0" fontId="4" fillId="0" borderId="34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4" fillId="0" borderId="36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/>
    </xf>
    <xf numFmtId="0" fontId="0" fillId="0" borderId="39" xfId="0" applyBorder="1"/>
    <xf numFmtId="0" fontId="5" fillId="0" borderId="40" xfId="0" applyFont="1" applyBorder="1" applyAlignment="1">
      <alignment horizontal="center" vertical="center"/>
    </xf>
    <xf numFmtId="0" fontId="4" fillId="0" borderId="35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3" fillId="0" borderId="44" xfId="0" applyFont="1" applyBorder="1" applyAlignment="1">
      <alignment horizontal="center" vertical="center"/>
    </xf>
    <xf numFmtId="0" fontId="7" fillId="0" borderId="19" xfId="0" applyFont="1" applyBorder="1" applyAlignment="1">
      <alignment horizontal="center" vertical="center"/>
    </xf>
    <xf numFmtId="0" fontId="7" fillId="0" borderId="18" xfId="0" applyFont="1" applyBorder="1" applyAlignment="1">
      <alignment horizontal="center" vertical="center"/>
    </xf>
    <xf numFmtId="0" fontId="7" fillId="0" borderId="30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0" fillId="0" borderId="22" xfId="0" applyBorder="1"/>
    <xf numFmtId="0" fontId="3" fillId="0" borderId="8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4" fillId="3" borderId="8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 vertical="center"/>
    </xf>
    <xf numFmtId="0" fontId="5" fillId="4" borderId="6" xfId="0" applyFont="1" applyFill="1" applyBorder="1" applyAlignment="1">
      <alignment horizontal="center" vertical="center"/>
    </xf>
    <xf numFmtId="0" fontId="4" fillId="5" borderId="8" xfId="0" applyFont="1" applyFill="1" applyBorder="1" applyAlignment="1">
      <alignment horizontal="center" vertical="center"/>
    </xf>
    <xf numFmtId="0" fontId="4" fillId="6" borderId="8" xfId="0" applyFont="1" applyFill="1" applyBorder="1" applyAlignment="1">
      <alignment horizontal="center" vertical="center"/>
    </xf>
    <xf numFmtId="0" fontId="5" fillId="9" borderId="6" xfId="0" applyFont="1" applyFill="1" applyBorder="1" applyAlignment="1">
      <alignment horizontal="center" vertical="center"/>
    </xf>
    <xf numFmtId="0" fontId="5" fillId="10" borderId="6" xfId="0" applyFont="1" applyFill="1" applyBorder="1" applyAlignment="1">
      <alignment horizontal="center" vertical="center"/>
    </xf>
    <xf numFmtId="0" fontId="4" fillId="11" borderId="8" xfId="0" applyFont="1" applyFill="1" applyBorder="1" applyAlignment="1">
      <alignment horizontal="center" vertical="center"/>
    </xf>
    <xf numFmtId="0" fontId="5" fillId="12" borderId="6" xfId="0" applyFont="1" applyFill="1" applyBorder="1" applyAlignment="1">
      <alignment horizontal="center" vertical="center"/>
    </xf>
    <xf numFmtId="0" fontId="4" fillId="8" borderId="8" xfId="0" applyFont="1" applyFill="1" applyBorder="1" applyAlignment="1">
      <alignment horizontal="center" vertical="center"/>
    </xf>
    <xf numFmtId="0" fontId="5" fillId="13" borderId="6" xfId="0" applyFont="1" applyFill="1" applyBorder="1" applyAlignment="1">
      <alignment horizontal="center" vertical="center"/>
    </xf>
    <xf numFmtId="0" fontId="4" fillId="7" borderId="8" xfId="0" applyFont="1" applyFill="1" applyBorder="1" applyAlignment="1">
      <alignment horizontal="center" vertical="center"/>
    </xf>
    <xf numFmtId="0" fontId="5" fillId="14" borderId="6" xfId="0" applyFont="1" applyFill="1" applyBorder="1" applyAlignment="1">
      <alignment horizontal="center" vertical="center"/>
    </xf>
    <xf numFmtId="0" fontId="4" fillId="18" borderId="8" xfId="0" applyFont="1" applyFill="1" applyBorder="1" applyAlignment="1">
      <alignment horizontal="center" vertical="center"/>
    </xf>
    <xf numFmtId="0" fontId="5" fillId="19" borderId="6" xfId="0" applyFont="1" applyFill="1" applyBorder="1" applyAlignment="1">
      <alignment horizontal="center" vertical="center"/>
    </xf>
    <xf numFmtId="0" fontId="1" fillId="0" borderId="27" xfId="0" applyFont="1" applyBorder="1" applyAlignment="1">
      <alignment vertical="center"/>
    </xf>
    <xf numFmtId="0" fontId="6" fillId="0" borderId="27" xfId="0" applyFont="1" applyBorder="1" applyAlignment="1">
      <alignment vertical="center"/>
    </xf>
    <xf numFmtId="0" fontId="6" fillId="0" borderId="3" xfId="0" applyFont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4" fillId="0" borderId="7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10" fillId="0" borderId="42" xfId="0" applyFont="1" applyBorder="1" applyAlignment="1">
      <alignment horizontal="center" vertical="center"/>
    </xf>
    <xf numFmtId="0" fontId="10" fillId="0" borderId="32" xfId="0" applyFont="1" applyBorder="1" applyAlignment="1">
      <alignment horizontal="center" vertical="center"/>
    </xf>
    <xf numFmtId="0" fontId="10" fillId="0" borderId="30" xfId="0" applyFont="1" applyBorder="1" applyAlignment="1">
      <alignment horizontal="center" vertical="center"/>
    </xf>
    <xf numFmtId="0" fontId="10" fillId="0" borderId="43" xfId="0" applyFont="1" applyBorder="1" applyAlignment="1">
      <alignment horizontal="center" vertical="center"/>
    </xf>
    <xf numFmtId="0" fontId="4" fillId="0" borderId="55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49" xfId="0" applyFont="1" applyBorder="1" applyAlignment="1">
      <alignment horizontal="center" vertical="center"/>
    </xf>
    <xf numFmtId="0" fontId="4" fillId="20" borderId="41" xfId="0" applyFont="1" applyFill="1" applyBorder="1" applyAlignment="1">
      <alignment horizontal="center" vertical="center"/>
    </xf>
    <xf numFmtId="0" fontId="4" fillId="20" borderId="12" xfId="0" applyFont="1" applyFill="1" applyBorder="1" applyAlignment="1">
      <alignment horizontal="center" vertical="center"/>
    </xf>
    <xf numFmtId="0" fontId="4" fillId="20" borderId="0" xfId="0" applyFont="1" applyFill="1" applyAlignment="1">
      <alignment horizontal="center" vertical="center"/>
    </xf>
    <xf numFmtId="0" fontId="4" fillId="20" borderId="36" xfId="0" applyFont="1" applyFill="1" applyBorder="1" applyAlignment="1">
      <alignment horizontal="center" vertical="center"/>
    </xf>
    <xf numFmtId="0" fontId="4" fillId="20" borderId="19" xfId="0" applyFont="1" applyFill="1" applyBorder="1" applyAlignment="1">
      <alignment horizontal="center" vertical="center"/>
    </xf>
    <xf numFmtId="0" fontId="4" fillId="20" borderId="47" xfId="0" applyFont="1" applyFill="1" applyBorder="1" applyAlignment="1">
      <alignment horizontal="center" vertical="center"/>
    </xf>
    <xf numFmtId="0" fontId="4" fillId="20" borderId="57" xfId="0" applyFont="1" applyFill="1" applyBorder="1" applyAlignment="1">
      <alignment horizontal="center" vertical="center"/>
    </xf>
    <xf numFmtId="0" fontId="0" fillId="2" borderId="30" xfId="0" applyFill="1" applyBorder="1"/>
    <xf numFmtId="0" fontId="0" fillId="0" borderId="30" xfId="0" applyBorder="1"/>
    <xf numFmtId="0" fontId="2" fillId="3" borderId="18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2" fillId="3" borderId="19" xfId="0" applyFont="1" applyFill="1" applyBorder="1" applyAlignment="1">
      <alignment horizontal="center" vertical="center"/>
    </xf>
    <xf numFmtId="0" fontId="3" fillId="3" borderId="19" xfId="0" applyFont="1" applyFill="1" applyBorder="1" applyAlignment="1">
      <alignment horizontal="center" vertical="center"/>
    </xf>
    <xf numFmtId="0" fontId="4" fillId="22" borderId="28" xfId="0" applyFont="1" applyFill="1" applyBorder="1" applyAlignment="1">
      <alignment vertical="center"/>
    </xf>
    <xf numFmtId="0" fontId="4" fillId="22" borderId="18" xfId="0" applyFont="1" applyFill="1" applyBorder="1" applyAlignment="1">
      <alignment vertical="center"/>
    </xf>
    <xf numFmtId="0" fontId="4" fillId="22" borderId="19" xfId="0" applyFont="1" applyFill="1" applyBorder="1" applyAlignment="1">
      <alignment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26" xfId="0" applyFont="1" applyBorder="1" applyAlignment="1">
      <alignment horizontal="center" vertical="center"/>
    </xf>
    <xf numFmtId="0" fontId="4" fillId="0" borderId="45" xfId="0" applyFont="1" applyBorder="1" applyAlignment="1">
      <alignment horizontal="center" vertical="center"/>
    </xf>
    <xf numFmtId="0" fontId="4" fillId="0" borderId="52" xfId="0" applyFont="1" applyBorder="1" applyAlignment="1">
      <alignment horizontal="center" vertical="center"/>
    </xf>
    <xf numFmtId="0" fontId="4" fillId="0" borderId="4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33" xfId="0" applyFont="1" applyBorder="1" applyAlignment="1">
      <alignment horizontal="center" vertical="center"/>
    </xf>
    <xf numFmtId="0" fontId="6" fillId="0" borderId="50" xfId="0" applyFont="1" applyBorder="1" applyAlignment="1">
      <alignment horizontal="center" vertical="center"/>
    </xf>
    <xf numFmtId="0" fontId="6" fillId="0" borderId="48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1" fillId="0" borderId="27" xfId="0" applyFont="1" applyBorder="1" applyAlignment="1">
      <alignment horizontal="center" vertical="center"/>
    </xf>
    <xf numFmtId="0" fontId="4" fillId="15" borderId="7" xfId="0" applyFont="1" applyFill="1" applyBorder="1" applyAlignment="1">
      <alignment horizontal="center" vertical="center"/>
    </xf>
    <xf numFmtId="0" fontId="4" fillId="15" borderId="5" xfId="0" applyFont="1" applyFill="1" applyBorder="1" applyAlignment="1">
      <alignment horizontal="center" vertical="center"/>
    </xf>
    <xf numFmtId="0" fontId="4" fillId="16" borderId="7" xfId="0" applyFont="1" applyFill="1" applyBorder="1" applyAlignment="1">
      <alignment horizontal="center" vertical="center"/>
    </xf>
    <xf numFmtId="0" fontId="4" fillId="16" borderId="5" xfId="0" applyFont="1" applyFill="1" applyBorder="1" applyAlignment="1">
      <alignment horizontal="center" vertical="center"/>
    </xf>
    <xf numFmtId="0" fontId="4" fillId="17" borderId="7" xfId="0" applyFont="1" applyFill="1" applyBorder="1" applyAlignment="1">
      <alignment horizontal="center" vertical="center"/>
    </xf>
    <xf numFmtId="0" fontId="4" fillId="17" borderId="5" xfId="0" applyFont="1" applyFill="1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0" fontId="11" fillId="0" borderId="3" xfId="0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 wrapText="1"/>
    </xf>
    <xf numFmtId="0" fontId="4" fillId="0" borderId="11" xfId="0" applyFont="1" applyBorder="1" applyAlignment="1">
      <alignment horizontal="center" vertical="center" wrapText="1"/>
    </xf>
    <xf numFmtId="0" fontId="6" fillId="0" borderId="13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29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36" xfId="0" applyFont="1" applyBorder="1" applyAlignment="1">
      <alignment horizontal="center" vertical="center"/>
    </xf>
    <xf numFmtId="0" fontId="4" fillId="0" borderId="41" xfId="0" applyFont="1" applyBorder="1" applyAlignment="1">
      <alignment horizontal="center" vertical="center"/>
    </xf>
    <xf numFmtId="0" fontId="4" fillId="0" borderId="56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0" fontId="7" fillId="0" borderId="52" xfId="0" applyFont="1" applyBorder="1" applyAlignment="1">
      <alignment horizontal="center" vertical="top"/>
    </xf>
    <xf numFmtId="0" fontId="7" fillId="0" borderId="46" xfId="0" applyFont="1" applyBorder="1" applyAlignment="1">
      <alignment horizontal="center" vertical="top"/>
    </xf>
    <xf numFmtId="0" fontId="4" fillId="0" borderId="55" xfId="0" applyFont="1" applyBorder="1" applyAlignment="1">
      <alignment horizontal="center" vertical="center"/>
    </xf>
    <xf numFmtId="0" fontId="4" fillId="0" borderId="45" xfId="0" applyFont="1" applyBorder="1" applyAlignment="1">
      <alignment horizontal="center"/>
    </xf>
    <xf numFmtId="0" fontId="4" fillId="0" borderId="52" xfId="0" applyFont="1" applyBorder="1" applyAlignment="1">
      <alignment horizontal="center"/>
    </xf>
    <xf numFmtId="0" fontId="4" fillId="0" borderId="25" xfId="0" applyFont="1" applyBorder="1" applyAlignment="1">
      <alignment horizontal="center"/>
    </xf>
    <xf numFmtId="0" fontId="4" fillId="0" borderId="36" xfId="0" applyFont="1" applyBorder="1" applyAlignment="1">
      <alignment horizontal="center"/>
    </xf>
    <xf numFmtId="0" fontId="7" fillId="0" borderId="36" xfId="0" applyFont="1" applyBorder="1" applyAlignment="1">
      <alignment horizontal="center" vertical="top"/>
    </xf>
    <xf numFmtId="0" fontId="7" fillId="0" borderId="41" xfId="0" applyFont="1" applyBorder="1" applyAlignment="1">
      <alignment horizontal="center" vertical="top"/>
    </xf>
    <xf numFmtId="0" fontId="4" fillId="0" borderId="25" xfId="0" applyFont="1" applyBorder="1" applyAlignment="1">
      <alignment horizontal="center" vertical="center" wrapText="1"/>
    </xf>
    <xf numFmtId="0" fontId="4" fillId="0" borderId="36" xfId="0" applyFont="1" applyBorder="1" applyAlignment="1">
      <alignment horizontal="center" vertical="center" wrapText="1"/>
    </xf>
    <xf numFmtId="0" fontId="4" fillId="0" borderId="42" xfId="0" applyFont="1" applyBorder="1" applyAlignment="1">
      <alignment horizontal="center" vertical="center" wrapText="1"/>
    </xf>
    <xf numFmtId="0" fontId="7" fillId="0" borderId="18" xfId="0" applyFont="1" applyBorder="1" applyAlignment="1">
      <alignment horizontal="center" vertical="top"/>
    </xf>
    <xf numFmtId="0" fontId="4" fillId="0" borderId="5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6" fillId="0" borderId="37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27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4" fillId="3" borderId="53" xfId="0" applyFont="1" applyFill="1" applyBorder="1" applyAlignment="1">
      <alignment horizontal="center" vertical="center"/>
    </xf>
    <xf numFmtId="0" fontId="4" fillId="3" borderId="54" xfId="0" applyFont="1" applyFill="1" applyBorder="1" applyAlignment="1">
      <alignment horizontal="center" vertical="center"/>
    </xf>
    <xf numFmtId="0" fontId="5" fillId="0" borderId="24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23" xfId="0" applyFont="1" applyBorder="1" applyAlignment="1">
      <alignment horizontal="center" vertical="center"/>
    </xf>
    <xf numFmtId="0" fontId="4" fillId="20" borderId="28" xfId="0" applyFont="1" applyFill="1" applyBorder="1" applyAlignment="1">
      <alignment horizontal="center" vertical="center"/>
    </xf>
    <xf numFmtId="0" fontId="4" fillId="20" borderId="19" xfId="0" applyFont="1" applyFill="1" applyBorder="1" applyAlignment="1">
      <alignment horizontal="center" vertical="center"/>
    </xf>
    <xf numFmtId="0" fontId="4" fillId="20" borderId="10" xfId="0" applyFont="1" applyFill="1" applyBorder="1" applyAlignment="1">
      <alignment horizontal="center" vertical="center" wrapText="1"/>
    </xf>
    <xf numFmtId="0" fontId="4" fillId="20" borderId="24" xfId="0" applyFont="1" applyFill="1" applyBorder="1" applyAlignment="1">
      <alignment horizontal="center" vertical="center" wrapText="1"/>
    </xf>
    <xf numFmtId="0" fontId="4" fillId="20" borderId="13" xfId="0" applyFont="1" applyFill="1" applyBorder="1" applyAlignment="1">
      <alignment horizontal="center" vertical="center"/>
    </xf>
    <xf numFmtId="0" fontId="4" fillId="20" borderId="24" xfId="0" applyFont="1" applyFill="1" applyBorder="1" applyAlignment="1">
      <alignment horizontal="center" vertical="center"/>
    </xf>
    <xf numFmtId="0" fontId="4" fillId="20" borderId="13" xfId="0" applyFont="1" applyFill="1" applyBorder="1" applyAlignment="1">
      <alignment horizontal="center" vertical="center" wrapText="1"/>
    </xf>
    <xf numFmtId="0" fontId="4" fillId="20" borderId="25" xfId="0" applyFont="1" applyFill="1" applyBorder="1" applyAlignment="1">
      <alignment horizontal="center" vertical="center" wrapText="1"/>
    </xf>
    <xf numFmtId="0" fontId="4" fillId="20" borderId="41" xfId="0" applyFont="1" applyFill="1" applyBorder="1" applyAlignment="1">
      <alignment horizontal="center" vertical="center" wrapText="1"/>
    </xf>
    <xf numFmtId="0" fontId="4" fillId="20" borderId="18" xfId="0" applyFont="1" applyFill="1" applyBorder="1" applyAlignment="1">
      <alignment horizontal="center" vertical="center"/>
    </xf>
    <xf numFmtId="0" fontId="4" fillId="20" borderId="25" xfId="0" applyFont="1" applyFill="1" applyBorder="1" applyAlignment="1">
      <alignment horizontal="center" vertical="center"/>
    </xf>
    <xf numFmtId="0" fontId="4" fillId="20" borderId="41" xfId="0" applyFont="1" applyFill="1" applyBorder="1" applyAlignment="1">
      <alignment horizontal="center" vertical="center"/>
    </xf>
    <xf numFmtId="0" fontId="4" fillId="21" borderId="25" xfId="0" applyFont="1" applyFill="1" applyBorder="1" applyAlignment="1">
      <alignment horizontal="center" vertical="center" wrapText="1"/>
    </xf>
    <xf numFmtId="0" fontId="4" fillId="21" borderId="41" xfId="0" applyFont="1" applyFill="1" applyBorder="1" applyAlignment="1">
      <alignment horizontal="center" vertical="center" wrapText="1"/>
    </xf>
    <xf numFmtId="0" fontId="4" fillId="21" borderId="13" xfId="0" applyFont="1" applyFill="1" applyBorder="1" applyAlignment="1">
      <alignment horizontal="center" vertical="center" wrapText="1"/>
    </xf>
    <xf numFmtId="0" fontId="4" fillId="21" borderId="24" xfId="0" applyFont="1" applyFill="1" applyBorder="1" applyAlignment="1">
      <alignment horizontal="center" vertical="center" wrapText="1"/>
    </xf>
    <xf numFmtId="0" fontId="4" fillId="20" borderId="55" xfId="0" applyFont="1" applyFill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8" fillId="0" borderId="23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 wrapText="1"/>
    </xf>
    <xf numFmtId="0" fontId="7" fillId="0" borderId="11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4" fillId="22" borderId="8" xfId="0" applyFont="1" applyFill="1" applyBorder="1" applyAlignment="1">
      <alignment horizontal="center" vertical="center"/>
    </xf>
    <xf numFmtId="0" fontId="5" fillId="22" borderId="6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9B"/>
      <color rgb="FFFFFF71"/>
      <color rgb="FFFFFFCC"/>
      <color rgb="FFFFFF99"/>
      <color rgb="FFFFFF66"/>
      <color rgb="FFFF9999"/>
      <color rgb="FFFF7C80"/>
      <color rgb="FFFF5050"/>
      <color rgb="FFC2E59B"/>
      <color rgb="FFABDB7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pageSetUpPr fitToPage="1"/>
  </sheetPr>
  <dimension ref="B1:L121"/>
  <sheetViews>
    <sheetView topLeftCell="A101" zoomScale="86" zoomScaleNormal="86" workbookViewId="0">
      <selection activeCell="G115" sqref="G115:G116"/>
    </sheetView>
  </sheetViews>
  <sheetFormatPr defaultRowHeight="14.4" x14ac:dyDescent="0.3"/>
  <cols>
    <col min="2" max="2" width="16.33203125" customWidth="1"/>
    <col min="3" max="3" width="27.44140625" customWidth="1"/>
    <col min="4" max="4" width="27.6640625" customWidth="1"/>
    <col min="5" max="5" width="29.5546875" customWidth="1"/>
    <col min="6" max="6" width="30.44140625" customWidth="1"/>
    <col min="7" max="7" width="30.6640625" customWidth="1"/>
  </cols>
  <sheetData>
    <row r="1" spans="2:10" ht="15" thickBot="1" x14ac:dyDescent="0.35"/>
    <row r="2" spans="2:10" ht="22.2" thickTop="1" thickBot="1" x14ac:dyDescent="0.35">
      <c r="B2" s="114" t="s">
        <v>58</v>
      </c>
      <c r="C2" s="115"/>
      <c r="D2" s="115"/>
      <c r="E2" s="115"/>
      <c r="F2" s="115"/>
      <c r="G2" s="116"/>
    </row>
    <row r="3" spans="2:10" ht="24" customHeight="1" thickTop="1" thickBot="1" x14ac:dyDescent="0.35">
      <c r="B3" s="1"/>
      <c r="C3" s="2" t="s">
        <v>0</v>
      </c>
      <c r="D3" s="2" t="s">
        <v>1</v>
      </c>
      <c r="E3" s="2" t="s">
        <v>2</v>
      </c>
      <c r="F3" s="2" t="s">
        <v>3</v>
      </c>
      <c r="G3" s="2" t="s">
        <v>4</v>
      </c>
    </row>
    <row r="4" spans="2:10" ht="19.5" customHeight="1" thickTop="1" thickBot="1" x14ac:dyDescent="0.35">
      <c r="B4" s="11" t="s">
        <v>5</v>
      </c>
      <c r="C4" s="6" t="s">
        <v>6</v>
      </c>
      <c r="D4" s="6" t="s">
        <v>7</v>
      </c>
      <c r="E4" s="6" t="s">
        <v>19</v>
      </c>
      <c r="F4" s="6" t="s">
        <v>6</v>
      </c>
      <c r="G4" s="6" t="s">
        <v>7</v>
      </c>
    </row>
    <row r="5" spans="2:10" ht="18" thickBot="1" x14ac:dyDescent="0.35">
      <c r="B5" s="3" t="s">
        <v>68</v>
      </c>
      <c r="C5" s="10" t="s">
        <v>8</v>
      </c>
      <c r="D5" s="4" t="s">
        <v>9</v>
      </c>
      <c r="E5" s="4" t="s">
        <v>10</v>
      </c>
      <c r="F5" s="10" t="s">
        <v>8</v>
      </c>
      <c r="G5" s="4" t="s">
        <v>9</v>
      </c>
    </row>
    <row r="6" spans="2:10" ht="18" thickTop="1" x14ac:dyDescent="0.3">
      <c r="B6" s="11" t="s">
        <v>12</v>
      </c>
      <c r="C6" s="6" t="s">
        <v>13</v>
      </c>
      <c r="D6" s="6" t="s">
        <v>78</v>
      </c>
      <c r="E6" s="6" t="s">
        <v>25</v>
      </c>
      <c r="F6" s="6" t="s">
        <v>33</v>
      </c>
      <c r="G6" s="13" t="s">
        <v>75</v>
      </c>
      <c r="J6" s="6" t="s">
        <v>14</v>
      </c>
    </row>
    <row r="7" spans="2:10" ht="18" thickBot="1" x14ac:dyDescent="0.35">
      <c r="B7" s="3" t="s">
        <v>69</v>
      </c>
      <c r="C7" s="4" t="s">
        <v>17</v>
      </c>
      <c r="D7" s="4" t="s">
        <v>27</v>
      </c>
      <c r="E7" s="4" t="s">
        <v>28</v>
      </c>
      <c r="F7" s="4" t="s">
        <v>37</v>
      </c>
      <c r="G7" s="4" t="s">
        <v>11</v>
      </c>
      <c r="J7" s="4" t="s">
        <v>52</v>
      </c>
    </row>
    <row r="8" spans="2:10" ht="18" thickTop="1" x14ac:dyDescent="0.3">
      <c r="B8" s="11" t="s">
        <v>18</v>
      </c>
      <c r="C8" s="6" t="s">
        <v>19</v>
      </c>
      <c r="D8" s="6" t="s">
        <v>54</v>
      </c>
      <c r="E8" s="6" t="s">
        <v>54</v>
      </c>
      <c r="F8" s="6" t="s">
        <v>54</v>
      </c>
      <c r="G8" s="6" t="s">
        <v>54</v>
      </c>
    </row>
    <row r="9" spans="2:10" ht="18" thickBot="1" x14ac:dyDescent="0.35">
      <c r="B9" s="3" t="s">
        <v>70</v>
      </c>
      <c r="C9" s="4" t="s">
        <v>10</v>
      </c>
      <c r="D9" s="4" t="s">
        <v>53</v>
      </c>
      <c r="E9" s="4" t="s">
        <v>53</v>
      </c>
      <c r="F9" s="4" t="s">
        <v>53</v>
      </c>
      <c r="G9" s="4" t="s">
        <v>53</v>
      </c>
      <c r="J9" s="6" t="s">
        <v>43</v>
      </c>
    </row>
    <row r="10" spans="2:10" ht="18.600000000000001" thickTop="1" thickBot="1" x14ac:dyDescent="0.35">
      <c r="B10" s="5" t="s">
        <v>71</v>
      </c>
      <c r="C10" s="117" t="s">
        <v>23</v>
      </c>
      <c r="D10" s="118"/>
      <c r="E10" s="118"/>
      <c r="F10" s="118"/>
      <c r="G10" s="119"/>
      <c r="J10" s="4" t="s">
        <v>48</v>
      </c>
    </row>
    <row r="11" spans="2:10" ht="18" thickTop="1" x14ac:dyDescent="0.3">
      <c r="B11" s="11" t="s">
        <v>24</v>
      </c>
      <c r="C11" s="6" t="s">
        <v>15</v>
      </c>
      <c r="D11" s="6" t="s">
        <v>14</v>
      </c>
      <c r="E11" s="6" t="s">
        <v>32</v>
      </c>
      <c r="F11" s="6" t="s">
        <v>43</v>
      </c>
      <c r="G11" s="6" t="s">
        <v>34</v>
      </c>
    </row>
    <row r="12" spans="2:10" ht="18" customHeight="1" thickBot="1" x14ac:dyDescent="0.35">
      <c r="B12" s="3" t="s">
        <v>72</v>
      </c>
      <c r="C12" s="4" t="s">
        <v>76</v>
      </c>
      <c r="D12" s="4" t="s">
        <v>77</v>
      </c>
      <c r="E12" s="4" t="s">
        <v>36</v>
      </c>
      <c r="F12" s="4" t="s">
        <v>48</v>
      </c>
      <c r="G12" s="4" t="s">
        <v>38</v>
      </c>
    </row>
    <row r="13" spans="2:10" ht="18.600000000000001" thickTop="1" thickBot="1" x14ac:dyDescent="0.35">
      <c r="B13" s="11" t="s">
        <v>30</v>
      </c>
      <c r="C13" s="6" t="s">
        <v>31</v>
      </c>
      <c r="D13" s="6" t="s">
        <v>57</v>
      </c>
      <c r="E13" s="6" t="s">
        <v>42</v>
      </c>
      <c r="F13" s="6" t="s">
        <v>20</v>
      </c>
      <c r="G13" s="6" t="s">
        <v>44</v>
      </c>
      <c r="J13" s="6" t="s">
        <v>34</v>
      </c>
    </row>
    <row r="14" spans="2:10" ht="18" thickBot="1" x14ac:dyDescent="0.35">
      <c r="B14" s="3" t="s">
        <v>73</v>
      </c>
      <c r="C14" s="4" t="s">
        <v>35</v>
      </c>
      <c r="D14" s="10" t="s">
        <v>35</v>
      </c>
      <c r="E14" s="4" t="s">
        <v>47</v>
      </c>
      <c r="F14" s="4" t="s">
        <v>22</v>
      </c>
      <c r="G14" s="10" t="s">
        <v>49</v>
      </c>
      <c r="J14" s="4" t="s">
        <v>38</v>
      </c>
    </row>
    <row r="15" spans="2:10" ht="18" thickTop="1" x14ac:dyDescent="0.3">
      <c r="B15" s="11" t="s">
        <v>39</v>
      </c>
      <c r="C15" s="6" t="s">
        <v>78</v>
      </c>
      <c r="D15" s="6" t="s">
        <v>41</v>
      </c>
      <c r="E15" s="6" t="s">
        <v>40</v>
      </c>
      <c r="F15" s="6" t="s">
        <v>26</v>
      </c>
      <c r="G15" s="6" t="s">
        <v>55</v>
      </c>
    </row>
    <row r="16" spans="2:10" ht="18" thickBot="1" x14ac:dyDescent="0.35">
      <c r="B16" s="3" t="s">
        <v>74</v>
      </c>
      <c r="C16" s="4" t="s">
        <v>27</v>
      </c>
      <c r="D16" s="4" t="s">
        <v>46</v>
      </c>
      <c r="E16" s="4" t="s">
        <v>45</v>
      </c>
      <c r="F16" s="4" t="s">
        <v>29</v>
      </c>
      <c r="G16" s="4" t="s">
        <v>79</v>
      </c>
    </row>
    <row r="17" spans="2:7" ht="18.600000000000001" thickTop="1" thickBot="1" x14ac:dyDescent="0.35">
      <c r="B17" s="117" t="s">
        <v>50</v>
      </c>
      <c r="C17" s="118"/>
      <c r="D17" s="118"/>
      <c r="E17" s="118"/>
      <c r="F17" s="118"/>
      <c r="G17" s="119"/>
    </row>
    <row r="18" spans="2:7" ht="18" thickTop="1" x14ac:dyDescent="0.35">
      <c r="B18" s="21"/>
      <c r="C18" s="7" t="s">
        <v>59</v>
      </c>
      <c r="D18" s="7" t="s">
        <v>59</v>
      </c>
      <c r="E18" s="7" t="s">
        <v>51</v>
      </c>
      <c r="F18" s="7" t="s">
        <v>83</v>
      </c>
      <c r="G18" s="18"/>
    </row>
    <row r="19" spans="2:7" ht="20.25" customHeight="1" thickBot="1" x14ac:dyDescent="0.4">
      <c r="B19" s="22"/>
      <c r="C19" s="8" t="s">
        <v>85</v>
      </c>
      <c r="D19" s="8" t="s">
        <v>82</v>
      </c>
      <c r="E19" s="8" t="s">
        <v>60</v>
      </c>
      <c r="F19" s="8" t="s">
        <v>84</v>
      </c>
      <c r="G19" s="20"/>
    </row>
    <row r="20" spans="2:7" ht="18.600000000000001" thickTop="1" thickBot="1" x14ac:dyDescent="0.4">
      <c r="B20" s="22"/>
      <c r="C20" s="9" t="s">
        <v>46</v>
      </c>
      <c r="D20" s="9" t="s">
        <v>77</v>
      </c>
      <c r="E20" s="4" t="s">
        <v>28</v>
      </c>
      <c r="F20" s="4" t="s">
        <v>79</v>
      </c>
      <c r="G20" s="19"/>
    </row>
    <row r="21" spans="2:7" ht="18" thickTop="1" x14ac:dyDescent="0.35">
      <c r="B21" s="22"/>
      <c r="C21" s="22"/>
      <c r="D21" s="17"/>
      <c r="E21" s="17"/>
      <c r="F21" s="17"/>
      <c r="G21" s="14"/>
    </row>
    <row r="22" spans="2:7" ht="17.399999999999999" x14ac:dyDescent="0.35">
      <c r="B22" s="22"/>
      <c r="C22" s="22"/>
      <c r="D22" s="15"/>
      <c r="E22" s="15"/>
      <c r="F22" s="15"/>
      <c r="G22" s="15"/>
    </row>
    <row r="23" spans="2:7" ht="17.399999999999999" x14ac:dyDescent="0.35">
      <c r="B23" s="22"/>
      <c r="C23" s="22" t="s">
        <v>100</v>
      </c>
      <c r="D23" s="16" t="s">
        <v>255</v>
      </c>
      <c r="E23" s="16"/>
      <c r="F23" s="16"/>
      <c r="G23" s="16"/>
    </row>
    <row r="25" spans="2:7" ht="15" thickBot="1" x14ac:dyDescent="0.35"/>
    <row r="26" spans="2:7" ht="22.2" thickTop="1" thickBot="1" x14ac:dyDescent="0.35">
      <c r="B26" s="114" t="str">
        <f>_xlfn.CONCAT("HORÁRIO TURMA ENEM - 3ª SÉRIE")</f>
        <v>HORÁRIO TURMA ENEM - 3ª SÉRIE</v>
      </c>
      <c r="C26" s="115"/>
      <c r="D26" s="115"/>
      <c r="E26" s="115"/>
      <c r="F26" s="115"/>
      <c r="G26" s="116"/>
    </row>
    <row r="27" spans="2:7" ht="18.600000000000001" thickTop="1" thickBot="1" x14ac:dyDescent="0.35">
      <c r="B27" s="1"/>
      <c r="C27" s="2" t="s">
        <v>0</v>
      </c>
      <c r="D27" s="2" t="s">
        <v>1</v>
      </c>
      <c r="E27" s="2" t="s">
        <v>2</v>
      </c>
      <c r="F27" s="2" t="s">
        <v>3</v>
      </c>
      <c r="G27" s="2" t="s">
        <v>4</v>
      </c>
    </row>
    <row r="28" spans="2:7" ht="18" thickTop="1" x14ac:dyDescent="0.3">
      <c r="B28" s="11" t="s">
        <v>5</v>
      </c>
      <c r="C28" s="6" t="s">
        <v>261</v>
      </c>
      <c r="D28" s="6" t="s">
        <v>267</v>
      </c>
      <c r="E28" s="6" t="s">
        <v>274</v>
      </c>
      <c r="F28" s="6" t="s">
        <v>275</v>
      </c>
      <c r="G28" s="6" t="s">
        <v>265</v>
      </c>
    </row>
    <row r="29" spans="2:7" ht="18" thickBot="1" x14ac:dyDescent="0.35">
      <c r="B29" s="3" t="s">
        <v>68</v>
      </c>
      <c r="C29" s="4" t="s">
        <v>8</v>
      </c>
      <c r="D29" s="4" t="s">
        <v>88</v>
      </c>
      <c r="E29" s="4" t="s">
        <v>196</v>
      </c>
      <c r="F29" s="4" t="s">
        <v>8</v>
      </c>
      <c r="G29" s="4" t="s">
        <v>256</v>
      </c>
    </row>
    <row r="30" spans="2:7" ht="18" thickTop="1" x14ac:dyDescent="0.3">
      <c r="B30" s="11" t="s">
        <v>12</v>
      </c>
      <c r="C30" s="6" t="s">
        <v>260</v>
      </c>
      <c r="D30" s="6" t="s">
        <v>268</v>
      </c>
      <c r="E30" s="6" t="s">
        <v>271</v>
      </c>
      <c r="F30" s="6" t="s">
        <v>278</v>
      </c>
      <c r="G30" s="6" t="s">
        <v>268</v>
      </c>
    </row>
    <row r="31" spans="2:7" ht="18" thickBot="1" x14ac:dyDescent="0.35">
      <c r="B31" s="3" t="s">
        <v>69</v>
      </c>
      <c r="C31" s="4" t="s">
        <v>17</v>
      </c>
      <c r="D31" s="4" t="s">
        <v>9</v>
      </c>
      <c r="E31" s="4" t="s">
        <v>47</v>
      </c>
      <c r="F31" s="4" t="s">
        <v>97</v>
      </c>
      <c r="G31" s="4" t="s">
        <v>9</v>
      </c>
    </row>
    <row r="32" spans="2:7" ht="18" thickTop="1" x14ac:dyDescent="0.3">
      <c r="B32" s="11" t="s">
        <v>18</v>
      </c>
      <c r="C32" s="6" t="s">
        <v>263</v>
      </c>
      <c r="D32" s="6" t="s">
        <v>270</v>
      </c>
      <c r="E32" s="6" t="s">
        <v>272</v>
      </c>
      <c r="F32" s="6" t="s">
        <v>276</v>
      </c>
      <c r="G32" s="6" t="s">
        <v>279</v>
      </c>
    </row>
    <row r="33" spans="2:9" ht="18" thickBot="1" x14ac:dyDescent="0.35">
      <c r="B33" s="3" t="s">
        <v>70</v>
      </c>
      <c r="C33" s="4" t="s">
        <v>291</v>
      </c>
      <c r="D33" s="4" t="s">
        <v>79</v>
      </c>
      <c r="E33" s="4" t="s">
        <v>67</v>
      </c>
      <c r="F33" s="4" t="s">
        <v>48</v>
      </c>
      <c r="G33" s="4" t="s">
        <v>11</v>
      </c>
    </row>
    <row r="34" spans="2:9" ht="18.600000000000001" thickTop="1" thickBot="1" x14ac:dyDescent="0.35">
      <c r="B34" s="5" t="s">
        <v>71</v>
      </c>
      <c r="C34" s="117" t="s">
        <v>23</v>
      </c>
      <c r="D34" s="118"/>
      <c r="E34" s="118"/>
      <c r="F34" s="118"/>
      <c r="G34" s="119"/>
    </row>
    <row r="35" spans="2:9" ht="18" thickTop="1" x14ac:dyDescent="0.3">
      <c r="B35" s="11" t="s">
        <v>24</v>
      </c>
      <c r="C35" s="6" t="s">
        <v>19</v>
      </c>
      <c r="D35" s="6" t="s">
        <v>101</v>
      </c>
      <c r="E35" s="6" t="s">
        <v>273</v>
      </c>
      <c r="F35" s="6" t="s">
        <v>262</v>
      </c>
      <c r="G35" s="6" t="s">
        <v>281</v>
      </c>
    </row>
    <row r="36" spans="2:9" ht="18" thickBot="1" x14ac:dyDescent="0.35">
      <c r="B36" s="3" t="s">
        <v>72</v>
      </c>
      <c r="C36" s="4" t="s">
        <v>10</v>
      </c>
      <c r="D36" s="4" t="s">
        <v>27</v>
      </c>
      <c r="E36" s="4" t="s">
        <v>36</v>
      </c>
      <c r="F36" s="4" t="s">
        <v>90</v>
      </c>
      <c r="G36" s="4" t="s">
        <v>21</v>
      </c>
    </row>
    <row r="37" spans="2:9" ht="18" thickTop="1" x14ac:dyDescent="0.3">
      <c r="B37" s="11" t="s">
        <v>30</v>
      </c>
      <c r="C37" s="6" t="s">
        <v>179</v>
      </c>
      <c r="D37" s="6" t="s">
        <v>269</v>
      </c>
      <c r="E37" s="6" t="s">
        <v>25</v>
      </c>
      <c r="F37" s="6" t="s">
        <v>277</v>
      </c>
      <c r="G37" s="6" t="s">
        <v>40</v>
      </c>
    </row>
    <row r="38" spans="2:9" ht="18" thickBot="1" x14ac:dyDescent="0.35">
      <c r="B38" s="3" t="s">
        <v>73</v>
      </c>
      <c r="C38" s="4" t="s">
        <v>293</v>
      </c>
      <c r="D38" s="4" t="s">
        <v>35</v>
      </c>
      <c r="E38" s="4" t="s">
        <v>28</v>
      </c>
      <c r="F38" s="4" t="s">
        <v>222</v>
      </c>
      <c r="G38" s="4" t="s">
        <v>49</v>
      </c>
    </row>
    <row r="39" spans="2:9" ht="18" thickTop="1" x14ac:dyDescent="0.3">
      <c r="B39" s="11" t="s">
        <v>39</v>
      </c>
      <c r="C39" s="6" t="s">
        <v>264</v>
      </c>
      <c r="D39" s="6" t="s">
        <v>266</v>
      </c>
      <c r="E39" s="6" t="s">
        <v>19</v>
      </c>
      <c r="F39" s="6" t="s">
        <v>16</v>
      </c>
      <c r="G39" s="6" t="s">
        <v>280</v>
      </c>
    </row>
    <row r="40" spans="2:9" ht="18" thickBot="1" x14ac:dyDescent="0.35">
      <c r="B40" s="3" t="s">
        <v>74</v>
      </c>
      <c r="C40" s="4" t="s">
        <v>35</v>
      </c>
      <c r="D40" s="4" t="s">
        <v>95</v>
      </c>
      <c r="E40" s="4" t="s">
        <v>10</v>
      </c>
      <c r="F40" s="4" t="s">
        <v>89</v>
      </c>
      <c r="G40" s="4" t="s">
        <v>38</v>
      </c>
    </row>
    <row r="41" spans="2:9" ht="15.6" thickTop="1" thickBot="1" x14ac:dyDescent="0.35"/>
    <row r="42" spans="2:9" ht="22.2" thickTop="1" thickBot="1" x14ac:dyDescent="0.35">
      <c r="B42" s="114" t="str">
        <f>_xlfn.CONCAT("HORÁRIO TURMA ENEM - TURMA 01")</f>
        <v>HORÁRIO TURMA ENEM - TURMA 01</v>
      </c>
      <c r="C42" s="115"/>
      <c r="D42" s="115"/>
      <c r="E42" s="115"/>
      <c r="F42" s="115"/>
      <c r="G42" s="116"/>
    </row>
    <row r="43" spans="2:9" ht="18.600000000000001" thickTop="1" thickBot="1" x14ac:dyDescent="0.35">
      <c r="B43" s="1"/>
      <c r="C43" s="2" t="s">
        <v>0</v>
      </c>
      <c r="D43" s="2" t="s">
        <v>1</v>
      </c>
      <c r="E43" s="2" t="s">
        <v>2</v>
      </c>
      <c r="F43" s="2" t="s">
        <v>3</v>
      </c>
      <c r="G43" s="2" t="s">
        <v>4</v>
      </c>
    </row>
    <row r="44" spans="2:9" ht="18" thickTop="1" x14ac:dyDescent="0.3">
      <c r="B44" s="11" t="s">
        <v>5</v>
      </c>
      <c r="C44" s="6" t="s">
        <v>264</v>
      </c>
      <c r="D44" s="6" t="s">
        <v>266</v>
      </c>
      <c r="E44" s="6" t="s">
        <v>19</v>
      </c>
      <c r="F44" s="6" t="s">
        <v>16</v>
      </c>
      <c r="G44" s="6" t="s">
        <v>280</v>
      </c>
    </row>
    <row r="45" spans="2:9" ht="18" thickBot="1" x14ac:dyDescent="0.35">
      <c r="B45" s="3" t="s">
        <v>68</v>
      </c>
      <c r="C45" s="4" t="s">
        <v>35</v>
      </c>
      <c r="D45" s="4" t="s">
        <v>95</v>
      </c>
      <c r="E45" s="4" t="s">
        <v>10</v>
      </c>
      <c r="F45" s="4" t="s">
        <v>89</v>
      </c>
      <c r="G45" s="4" t="s">
        <v>38</v>
      </c>
    </row>
    <row r="46" spans="2:9" ht="18" thickTop="1" x14ac:dyDescent="0.3">
      <c r="B46" s="11" t="s">
        <v>12</v>
      </c>
      <c r="C46" s="6" t="s">
        <v>261</v>
      </c>
      <c r="D46" s="6" t="s">
        <v>267</v>
      </c>
      <c r="E46" s="6" t="s">
        <v>274</v>
      </c>
      <c r="F46" s="6" t="s">
        <v>275</v>
      </c>
      <c r="G46" s="6" t="s">
        <v>265</v>
      </c>
    </row>
    <row r="47" spans="2:9" ht="18" thickBot="1" x14ac:dyDescent="0.35">
      <c r="B47" s="3" t="s">
        <v>69</v>
      </c>
      <c r="C47" s="4" t="s">
        <v>8</v>
      </c>
      <c r="D47" s="4" t="s">
        <v>88</v>
      </c>
      <c r="E47" s="4" t="s">
        <v>196</v>
      </c>
      <c r="F47" s="4" t="s">
        <v>8</v>
      </c>
      <c r="G47" s="4" t="s">
        <v>256</v>
      </c>
      <c r="I47" s="6"/>
    </row>
    <row r="48" spans="2:9" ht="18.600000000000001" thickTop="1" thickBot="1" x14ac:dyDescent="0.35">
      <c r="B48" s="11" t="s">
        <v>18</v>
      </c>
      <c r="C48" s="6" t="s">
        <v>260</v>
      </c>
      <c r="D48" s="6" t="s">
        <v>268</v>
      </c>
      <c r="E48" s="6" t="s">
        <v>271</v>
      </c>
      <c r="F48" s="6" t="s">
        <v>278</v>
      </c>
      <c r="G48" s="6" t="s">
        <v>268</v>
      </c>
      <c r="I48" s="10"/>
    </row>
    <row r="49" spans="2:7" ht="18.600000000000001" thickTop="1" thickBot="1" x14ac:dyDescent="0.35">
      <c r="B49" s="3" t="s">
        <v>70</v>
      </c>
      <c r="C49" s="4" t="s">
        <v>17</v>
      </c>
      <c r="D49" s="4" t="s">
        <v>9</v>
      </c>
      <c r="E49" s="4" t="s">
        <v>47</v>
      </c>
      <c r="F49" s="4" t="s">
        <v>97</v>
      </c>
      <c r="G49" s="4" t="s">
        <v>9</v>
      </c>
    </row>
    <row r="50" spans="2:7" ht="18.600000000000001" thickTop="1" thickBot="1" x14ac:dyDescent="0.35">
      <c r="B50" s="5" t="s">
        <v>71</v>
      </c>
      <c r="C50" s="117" t="s">
        <v>23</v>
      </c>
      <c r="D50" s="118"/>
      <c r="E50" s="118"/>
      <c r="F50" s="118"/>
      <c r="G50" s="119"/>
    </row>
    <row r="51" spans="2:7" ht="18" thickTop="1" x14ac:dyDescent="0.3">
      <c r="B51" s="11" t="s">
        <v>24</v>
      </c>
      <c r="C51" s="6" t="s">
        <v>263</v>
      </c>
      <c r="D51" s="6" t="s">
        <v>270</v>
      </c>
      <c r="E51" s="6" t="s">
        <v>272</v>
      </c>
      <c r="F51" s="6" t="s">
        <v>276</v>
      </c>
      <c r="G51" s="6" t="s">
        <v>279</v>
      </c>
    </row>
    <row r="52" spans="2:7" ht="18" thickBot="1" x14ac:dyDescent="0.35">
      <c r="B52" s="3" t="s">
        <v>72</v>
      </c>
      <c r="C52" s="4" t="s">
        <v>291</v>
      </c>
      <c r="D52" s="4" t="s">
        <v>79</v>
      </c>
      <c r="E52" s="4" t="s">
        <v>67</v>
      </c>
      <c r="F52" s="4" t="s">
        <v>48</v>
      </c>
      <c r="G52" s="4" t="s">
        <v>11</v>
      </c>
    </row>
    <row r="53" spans="2:7" ht="18" thickTop="1" x14ac:dyDescent="0.3">
      <c r="B53" s="11" t="s">
        <v>30</v>
      </c>
      <c r="C53" s="6" t="s">
        <v>19</v>
      </c>
      <c r="D53" s="6" t="s">
        <v>101</v>
      </c>
      <c r="E53" s="6" t="s">
        <v>273</v>
      </c>
      <c r="F53" s="6" t="s">
        <v>262</v>
      </c>
      <c r="G53" s="6" t="s">
        <v>281</v>
      </c>
    </row>
    <row r="54" spans="2:7" ht="18" thickBot="1" x14ac:dyDescent="0.35">
      <c r="B54" s="3" t="s">
        <v>73</v>
      </c>
      <c r="C54" s="4" t="s">
        <v>10</v>
      </c>
      <c r="D54" s="4" t="s">
        <v>27</v>
      </c>
      <c r="E54" s="4" t="s">
        <v>36</v>
      </c>
      <c r="F54" s="4" t="s">
        <v>90</v>
      </c>
      <c r="G54" s="4" t="s">
        <v>21</v>
      </c>
    </row>
    <row r="55" spans="2:7" ht="18" thickTop="1" x14ac:dyDescent="0.3">
      <c r="B55" s="11" t="s">
        <v>39</v>
      </c>
      <c r="C55" s="6" t="s">
        <v>179</v>
      </c>
      <c r="D55" s="6" t="s">
        <v>269</v>
      </c>
      <c r="E55" s="6" t="s">
        <v>25</v>
      </c>
      <c r="F55" s="6" t="s">
        <v>277</v>
      </c>
      <c r="G55" s="6" t="s">
        <v>40</v>
      </c>
    </row>
    <row r="56" spans="2:7" ht="18" thickBot="1" x14ac:dyDescent="0.35">
      <c r="B56" s="3" t="s">
        <v>74</v>
      </c>
      <c r="C56" s="4" t="s">
        <v>293</v>
      </c>
      <c r="D56" s="4" t="s">
        <v>35</v>
      </c>
      <c r="E56" s="4" t="s">
        <v>28</v>
      </c>
      <c r="F56" s="4" t="s">
        <v>222</v>
      </c>
      <c r="G56" s="4" t="s">
        <v>49</v>
      </c>
    </row>
    <row r="57" spans="2:7" ht="15.6" thickTop="1" thickBot="1" x14ac:dyDescent="0.35"/>
    <row r="58" spans="2:7" ht="22.2" thickTop="1" thickBot="1" x14ac:dyDescent="0.35">
      <c r="B58" s="114" t="str">
        <f>_xlfn.CONCAT("HORÁRIO TURMA ENEM - TURMA 02")</f>
        <v>HORÁRIO TURMA ENEM - TURMA 02</v>
      </c>
      <c r="C58" s="115"/>
      <c r="D58" s="115"/>
      <c r="E58" s="115"/>
      <c r="F58" s="115"/>
      <c r="G58" s="116"/>
    </row>
    <row r="59" spans="2:7" ht="18.600000000000001" thickTop="1" thickBot="1" x14ac:dyDescent="0.35">
      <c r="B59" s="1"/>
      <c r="C59" s="2" t="s">
        <v>0</v>
      </c>
      <c r="D59" s="2" t="s">
        <v>1</v>
      </c>
      <c r="E59" s="2" t="s">
        <v>2</v>
      </c>
      <c r="F59" s="2" t="s">
        <v>3</v>
      </c>
      <c r="G59" s="2" t="s">
        <v>4</v>
      </c>
    </row>
    <row r="60" spans="2:7" ht="18" thickTop="1" x14ac:dyDescent="0.3">
      <c r="B60" s="11" t="s">
        <v>5</v>
      </c>
      <c r="C60" s="6" t="s">
        <v>179</v>
      </c>
      <c r="D60" s="6" t="s">
        <v>269</v>
      </c>
      <c r="E60" s="6" t="s">
        <v>25</v>
      </c>
      <c r="F60" s="6" t="s">
        <v>277</v>
      </c>
      <c r="G60" s="6" t="s">
        <v>40</v>
      </c>
    </row>
    <row r="61" spans="2:7" ht="18" thickBot="1" x14ac:dyDescent="0.35">
      <c r="B61" s="3" t="s">
        <v>68</v>
      </c>
      <c r="C61" s="4" t="s">
        <v>293</v>
      </c>
      <c r="D61" s="4" t="s">
        <v>35</v>
      </c>
      <c r="E61" s="4" t="s">
        <v>28</v>
      </c>
      <c r="F61" s="4" t="s">
        <v>222</v>
      </c>
      <c r="G61" s="4" t="s">
        <v>49</v>
      </c>
    </row>
    <row r="62" spans="2:7" ht="18" thickTop="1" x14ac:dyDescent="0.3">
      <c r="B62" s="11" t="s">
        <v>12</v>
      </c>
      <c r="C62" s="6" t="s">
        <v>264</v>
      </c>
      <c r="D62" s="6" t="s">
        <v>266</v>
      </c>
      <c r="E62" s="6" t="s">
        <v>19</v>
      </c>
      <c r="F62" s="6" t="s">
        <v>16</v>
      </c>
      <c r="G62" s="6" t="s">
        <v>280</v>
      </c>
    </row>
    <row r="63" spans="2:7" ht="18" thickBot="1" x14ac:dyDescent="0.35">
      <c r="B63" s="3" t="s">
        <v>69</v>
      </c>
      <c r="C63" s="4" t="s">
        <v>35</v>
      </c>
      <c r="D63" s="4" t="s">
        <v>95</v>
      </c>
      <c r="E63" s="4" t="s">
        <v>10</v>
      </c>
      <c r="F63" s="4" t="s">
        <v>89</v>
      </c>
      <c r="G63" s="4" t="s">
        <v>38</v>
      </c>
    </row>
    <row r="64" spans="2:7" ht="18" thickTop="1" x14ac:dyDescent="0.3">
      <c r="B64" s="11" t="s">
        <v>18</v>
      </c>
      <c r="C64" s="6" t="s">
        <v>261</v>
      </c>
      <c r="D64" s="6" t="s">
        <v>267</v>
      </c>
      <c r="E64" s="6" t="s">
        <v>274</v>
      </c>
      <c r="F64" s="6" t="s">
        <v>275</v>
      </c>
      <c r="G64" s="6" t="s">
        <v>265</v>
      </c>
    </row>
    <row r="65" spans="2:7" ht="18" thickBot="1" x14ac:dyDescent="0.35">
      <c r="B65" s="3" t="s">
        <v>70</v>
      </c>
      <c r="C65" s="4" t="s">
        <v>8</v>
      </c>
      <c r="D65" s="4" t="s">
        <v>88</v>
      </c>
      <c r="E65" s="4" t="s">
        <v>196</v>
      </c>
      <c r="F65" s="4" t="s">
        <v>8</v>
      </c>
      <c r="G65" s="4" t="s">
        <v>256</v>
      </c>
    </row>
    <row r="66" spans="2:7" ht="18.600000000000001" thickTop="1" thickBot="1" x14ac:dyDescent="0.35">
      <c r="B66" s="5" t="s">
        <v>71</v>
      </c>
      <c r="C66" s="117" t="s">
        <v>23</v>
      </c>
      <c r="D66" s="118"/>
      <c r="E66" s="118"/>
      <c r="F66" s="118"/>
      <c r="G66" s="119"/>
    </row>
    <row r="67" spans="2:7" ht="18" thickTop="1" x14ac:dyDescent="0.3">
      <c r="B67" s="11" t="s">
        <v>24</v>
      </c>
      <c r="C67" s="6" t="s">
        <v>260</v>
      </c>
      <c r="D67" s="6" t="s">
        <v>268</v>
      </c>
      <c r="E67" s="6" t="s">
        <v>271</v>
      </c>
      <c r="F67" s="6" t="s">
        <v>278</v>
      </c>
      <c r="G67" s="6" t="s">
        <v>268</v>
      </c>
    </row>
    <row r="68" spans="2:7" ht="18" thickBot="1" x14ac:dyDescent="0.35">
      <c r="B68" s="3" t="s">
        <v>72</v>
      </c>
      <c r="C68" s="4" t="s">
        <v>17</v>
      </c>
      <c r="D68" s="4" t="s">
        <v>9</v>
      </c>
      <c r="E68" s="4" t="s">
        <v>47</v>
      </c>
      <c r="F68" s="4" t="s">
        <v>97</v>
      </c>
      <c r="G68" s="4" t="s">
        <v>9</v>
      </c>
    </row>
    <row r="69" spans="2:7" ht="18" thickTop="1" x14ac:dyDescent="0.3">
      <c r="B69" s="11" t="s">
        <v>30</v>
      </c>
      <c r="C69" s="6" t="s">
        <v>263</v>
      </c>
      <c r="D69" s="6" t="s">
        <v>270</v>
      </c>
      <c r="E69" s="6" t="s">
        <v>272</v>
      </c>
      <c r="F69" s="6" t="s">
        <v>276</v>
      </c>
      <c r="G69" s="6" t="s">
        <v>279</v>
      </c>
    </row>
    <row r="70" spans="2:7" ht="18" thickBot="1" x14ac:dyDescent="0.35">
      <c r="B70" s="3" t="s">
        <v>73</v>
      </c>
      <c r="C70" s="4" t="s">
        <v>291</v>
      </c>
      <c r="D70" s="4" t="s">
        <v>79</v>
      </c>
      <c r="E70" s="4" t="s">
        <v>67</v>
      </c>
      <c r="F70" s="4" t="s">
        <v>48</v>
      </c>
      <c r="G70" s="4" t="s">
        <v>11</v>
      </c>
    </row>
    <row r="71" spans="2:7" ht="18" thickTop="1" x14ac:dyDescent="0.3">
      <c r="B71" s="11" t="s">
        <v>39</v>
      </c>
      <c r="C71" s="6" t="s">
        <v>19</v>
      </c>
      <c r="D71" s="6" t="s">
        <v>101</v>
      </c>
      <c r="E71" s="6" t="s">
        <v>273</v>
      </c>
      <c r="F71" s="6" t="s">
        <v>262</v>
      </c>
      <c r="G71" s="6" t="s">
        <v>281</v>
      </c>
    </row>
    <row r="72" spans="2:7" ht="18" thickBot="1" x14ac:dyDescent="0.35">
      <c r="B72" s="3" t="s">
        <v>74</v>
      </c>
      <c r="C72" s="4" t="s">
        <v>10</v>
      </c>
      <c r="D72" s="4" t="s">
        <v>27</v>
      </c>
      <c r="E72" s="4" t="s">
        <v>36</v>
      </c>
      <c r="F72" s="4" t="s">
        <v>90</v>
      </c>
      <c r="G72" s="4" t="s">
        <v>21</v>
      </c>
    </row>
    <row r="73" spans="2:7" ht="15.6" thickTop="1" thickBot="1" x14ac:dyDescent="0.35"/>
    <row r="74" spans="2:7" ht="22.2" thickTop="1" thickBot="1" x14ac:dyDescent="0.35">
      <c r="B74" s="114" t="str">
        <f>_xlfn.CONCAT("HORÁRIO TURMA ENEM - TURMA 03")</f>
        <v>HORÁRIO TURMA ENEM - TURMA 03</v>
      </c>
      <c r="C74" s="115"/>
      <c r="D74" s="115"/>
      <c r="E74" s="115"/>
      <c r="F74" s="115"/>
      <c r="G74" s="116"/>
    </row>
    <row r="75" spans="2:7" ht="18.600000000000001" thickTop="1" thickBot="1" x14ac:dyDescent="0.35">
      <c r="B75" s="1"/>
      <c r="C75" s="2" t="s">
        <v>0</v>
      </c>
      <c r="D75" s="2" t="s">
        <v>1</v>
      </c>
      <c r="E75" s="2" t="s">
        <v>2</v>
      </c>
      <c r="F75" s="2" t="s">
        <v>3</v>
      </c>
      <c r="G75" s="2" t="s">
        <v>4</v>
      </c>
    </row>
    <row r="76" spans="2:7" ht="18" thickTop="1" x14ac:dyDescent="0.3">
      <c r="B76" s="11" t="s">
        <v>5</v>
      </c>
      <c r="C76" s="6" t="s">
        <v>19</v>
      </c>
      <c r="D76" s="6" t="s">
        <v>101</v>
      </c>
      <c r="E76" s="6" t="s">
        <v>273</v>
      </c>
      <c r="F76" s="6" t="s">
        <v>262</v>
      </c>
      <c r="G76" s="6" t="s">
        <v>281</v>
      </c>
    </row>
    <row r="77" spans="2:7" ht="18" thickBot="1" x14ac:dyDescent="0.35">
      <c r="B77" s="3" t="s">
        <v>68</v>
      </c>
      <c r="C77" s="4" t="s">
        <v>10</v>
      </c>
      <c r="D77" s="4" t="s">
        <v>27</v>
      </c>
      <c r="E77" s="4" t="s">
        <v>36</v>
      </c>
      <c r="F77" s="4" t="s">
        <v>90</v>
      </c>
      <c r="G77" s="4" t="s">
        <v>21</v>
      </c>
    </row>
    <row r="78" spans="2:7" ht="18" thickTop="1" x14ac:dyDescent="0.3">
      <c r="B78" s="11" t="s">
        <v>12</v>
      </c>
      <c r="C78" s="6" t="s">
        <v>179</v>
      </c>
      <c r="D78" s="6" t="s">
        <v>269</v>
      </c>
      <c r="E78" s="6" t="s">
        <v>25</v>
      </c>
      <c r="F78" s="6" t="s">
        <v>277</v>
      </c>
      <c r="G78" s="6" t="s">
        <v>40</v>
      </c>
    </row>
    <row r="79" spans="2:7" ht="18" thickBot="1" x14ac:dyDescent="0.35">
      <c r="B79" s="3" t="s">
        <v>69</v>
      </c>
      <c r="C79" s="4" t="s">
        <v>293</v>
      </c>
      <c r="D79" s="4" t="s">
        <v>35</v>
      </c>
      <c r="E79" s="4" t="s">
        <v>28</v>
      </c>
      <c r="F79" s="4" t="s">
        <v>222</v>
      </c>
      <c r="G79" s="4" t="s">
        <v>49</v>
      </c>
    </row>
    <row r="80" spans="2:7" ht="18" thickTop="1" x14ac:dyDescent="0.3">
      <c r="B80" s="11" t="s">
        <v>18</v>
      </c>
      <c r="C80" s="6" t="s">
        <v>264</v>
      </c>
      <c r="D80" s="6" t="s">
        <v>266</v>
      </c>
      <c r="E80" s="6" t="s">
        <v>19</v>
      </c>
      <c r="F80" s="6" t="s">
        <v>16</v>
      </c>
      <c r="G80" s="6" t="s">
        <v>280</v>
      </c>
    </row>
    <row r="81" spans="2:7" ht="18" thickBot="1" x14ac:dyDescent="0.35">
      <c r="B81" s="3" t="s">
        <v>70</v>
      </c>
      <c r="C81" s="4" t="s">
        <v>35</v>
      </c>
      <c r="D81" s="4" t="s">
        <v>95</v>
      </c>
      <c r="E81" s="4" t="s">
        <v>10</v>
      </c>
      <c r="F81" s="4" t="s">
        <v>89</v>
      </c>
      <c r="G81" s="4" t="s">
        <v>38</v>
      </c>
    </row>
    <row r="82" spans="2:7" ht="18.600000000000001" thickTop="1" thickBot="1" x14ac:dyDescent="0.35">
      <c r="B82" s="5" t="s">
        <v>71</v>
      </c>
      <c r="C82" s="117" t="s">
        <v>23</v>
      </c>
      <c r="D82" s="118"/>
      <c r="E82" s="118"/>
      <c r="F82" s="118"/>
      <c r="G82" s="119"/>
    </row>
    <row r="83" spans="2:7" ht="18" thickTop="1" x14ac:dyDescent="0.3">
      <c r="B83" s="11" t="s">
        <v>24</v>
      </c>
      <c r="C83" s="6" t="s">
        <v>261</v>
      </c>
      <c r="D83" s="6" t="s">
        <v>267</v>
      </c>
      <c r="E83" s="6" t="s">
        <v>274</v>
      </c>
      <c r="F83" s="6" t="s">
        <v>275</v>
      </c>
      <c r="G83" s="6" t="s">
        <v>265</v>
      </c>
    </row>
    <row r="84" spans="2:7" ht="18" thickBot="1" x14ac:dyDescent="0.35">
      <c r="B84" s="3" t="s">
        <v>72</v>
      </c>
      <c r="C84" s="4" t="s">
        <v>8</v>
      </c>
      <c r="D84" s="4" t="s">
        <v>88</v>
      </c>
      <c r="E84" s="4" t="s">
        <v>196</v>
      </c>
      <c r="F84" s="4" t="s">
        <v>8</v>
      </c>
      <c r="G84" s="4" t="s">
        <v>256</v>
      </c>
    </row>
    <row r="85" spans="2:7" ht="18" thickTop="1" x14ac:dyDescent="0.3">
      <c r="B85" s="11" t="s">
        <v>30</v>
      </c>
      <c r="C85" s="6" t="s">
        <v>260</v>
      </c>
      <c r="D85" s="6" t="s">
        <v>268</v>
      </c>
      <c r="E85" s="6" t="s">
        <v>271</v>
      </c>
      <c r="F85" s="6" t="s">
        <v>278</v>
      </c>
      <c r="G85" s="6" t="s">
        <v>268</v>
      </c>
    </row>
    <row r="86" spans="2:7" ht="18" thickBot="1" x14ac:dyDescent="0.35">
      <c r="B86" s="3" t="s">
        <v>73</v>
      </c>
      <c r="C86" s="4" t="s">
        <v>17</v>
      </c>
      <c r="D86" s="4" t="s">
        <v>9</v>
      </c>
      <c r="E86" s="4" t="s">
        <v>47</v>
      </c>
      <c r="F86" s="4" t="s">
        <v>97</v>
      </c>
      <c r="G86" s="4" t="s">
        <v>9</v>
      </c>
    </row>
    <row r="87" spans="2:7" ht="18" thickTop="1" x14ac:dyDescent="0.3">
      <c r="B87" s="11" t="s">
        <v>39</v>
      </c>
      <c r="C87" s="6" t="s">
        <v>263</v>
      </c>
      <c r="D87" s="6" t="s">
        <v>270</v>
      </c>
      <c r="E87" s="6" t="s">
        <v>272</v>
      </c>
      <c r="F87" s="6" t="s">
        <v>276</v>
      </c>
      <c r="G87" s="6" t="s">
        <v>279</v>
      </c>
    </row>
    <row r="88" spans="2:7" ht="18" thickBot="1" x14ac:dyDescent="0.35">
      <c r="B88" s="3" t="s">
        <v>74</v>
      </c>
      <c r="C88" s="4" t="s">
        <v>291</v>
      </c>
      <c r="D88" s="4" t="s">
        <v>79</v>
      </c>
      <c r="E88" s="4" t="s">
        <v>67</v>
      </c>
      <c r="F88" s="4" t="s">
        <v>48</v>
      </c>
      <c r="G88" s="4" t="s">
        <v>11</v>
      </c>
    </row>
    <row r="89" spans="2:7" ht="15.6" thickTop="1" thickBot="1" x14ac:dyDescent="0.35"/>
    <row r="90" spans="2:7" ht="22.2" thickTop="1" thickBot="1" x14ac:dyDescent="0.35">
      <c r="B90" s="114" t="str">
        <f>_xlfn.CONCAT("HORÁRIO TURMA ENEM - TURMA 04")</f>
        <v>HORÁRIO TURMA ENEM - TURMA 04</v>
      </c>
      <c r="C90" s="115"/>
      <c r="D90" s="115"/>
      <c r="E90" s="115"/>
      <c r="F90" s="115"/>
      <c r="G90" s="116"/>
    </row>
    <row r="91" spans="2:7" ht="18.600000000000001" thickTop="1" thickBot="1" x14ac:dyDescent="0.35">
      <c r="B91" s="1"/>
      <c r="C91" s="2" t="s">
        <v>0</v>
      </c>
      <c r="D91" s="2" t="s">
        <v>1</v>
      </c>
      <c r="E91" s="2" t="s">
        <v>2</v>
      </c>
      <c r="F91" s="2" t="s">
        <v>3</v>
      </c>
      <c r="G91" s="2" t="s">
        <v>4</v>
      </c>
    </row>
    <row r="92" spans="2:7" ht="18" thickTop="1" x14ac:dyDescent="0.3">
      <c r="B92" s="11" t="s">
        <v>5</v>
      </c>
      <c r="C92" s="6" t="s">
        <v>263</v>
      </c>
      <c r="D92" s="6" t="s">
        <v>270</v>
      </c>
      <c r="E92" s="6" t="s">
        <v>272</v>
      </c>
      <c r="F92" s="6" t="s">
        <v>276</v>
      </c>
      <c r="G92" s="6" t="s">
        <v>279</v>
      </c>
    </row>
    <row r="93" spans="2:7" ht="18" thickBot="1" x14ac:dyDescent="0.35">
      <c r="B93" s="3" t="s">
        <v>68</v>
      </c>
      <c r="C93" s="4" t="s">
        <v>291</v>
      </c>
      <c r="D93" s="4" t="s">
        <v>79</v>
      </c>
      <c r="E93" s="4" t="s">
        <v>67</v>
      </c>
      <c r="F93" s="4" t="s">
        <v>48</v>
      </c>
      <c r="G93" s="4" t="s">
        <v>11</v>
      </c>
    </row>
    <row r="94" spans="2:7" ht="18" thickTop="1" x14ac:dyDescent="0.3">
      <c r="B94" s="11" t="s">
        <v>12</v>
      </c>
      <c r="C94" s="6" t="s">
        <v>19</v>
      </c>
      <c r="D94" s="6" t="s">
        <v>101</v>
      </c>
      <c r="E94" s="6" t="s">
        <v>273</v>
      </c>
      <c r="F94" s="6" t="s">
        <v>262</v>
      </c>
      <c r="G94" s="6" t="s">
        <v>281</v>
      </c>
    </row>
    <row r="95" spans="2:7" ht="18" thickBot="1" x14ac:dyDescent="0.35">
      <c r="B95" s="3" t="s">
        <v>69</v>
      </c>
      <c r="C95" s="4" t="s">
        <v>10</v>
      </c>
      <c r="D95" s="4" t="s">
        <v>27</v>
      </c>
      <c r="E95" s="4" t="s">
        <v>36</v>
      </c>
      <c r="F95" s="4" t="s">
        <v>90</v>
      </c>
      <c r="G95" s="4" t="s">
        <v>21</v>
      </c>
    </row>
    <row r="96" spans="2:7" ht="18" thickTop="1" x14ac:dyDescent="0.3">
      <c r="B96" s="11" t="s">
        <v>18</v>
      </c>
      <c r="C96" s="6" t="s">
        <v>179</v>
      </c>
      <c r="D96" s="6" t="s">
        <v>269</v>
      </c>
      <c r="E96" s="6" t="s">
        <v>25</v>
      </c>
      <c r="F96" s="6" t="s">
        <v>277</v>
      </c>
      <c r="G96" s="6" t="s">
        <v>40</v>
      </c>
    </row>
    <row r="97" spans="2:12" ht="18" thickBot="1" x14ac:dyDescent="0.35">
      <c r="B97" s="3" t="s">
        <v>70</v>
      </c>
      <c r="C97" s="4" t="s">
        <v>293</v>
      </c>
      <c r="D97" s="4" t="s">
        <v>35</v>
      </c>
      <c r="E97" s="4" t="s">
        <v>28</v>
      </c>
      <c r="F97" s="4" t="s">
        <v>222</v>
      </c>
      <c r="G97" s="4" t="s">
        <v>49</v>
      </c>
    </row>
    <row r="98" spans="2:12" ht="18.600000000000001" thickTop="1" thickBot="1" x14ac:dyDescent="0.35">
      <c r="B98" s="5" t="s">
        <v>71</v>
      </c>
      <c r="C98" s="117" t="s">
        <v>23</v>
      </c>
      <c r="D98" s="118"/>
      <c r="E98" s="118"/>
      <c r="F98" s="118"/>
      <c r="G98" s="119"/>
    </row>
    <row r="99" spans="2:12" ht="18" thickTop="1" x14ac:dyDescent="0.3">
      <c r="B99" s="11" t="s">
        <v>24</v>
      </c>
      <c r="C99" s="6" t="s">
        <v>264</v>
      </c>
      <c r="D99" s="6" t="s">
        <v>266</v>
      </c>
      <c r="E99" s="6" t="s">
        <v>19</v>
      </c>
      <c r="F99" s="6" t="s">
        <v>16</v>
      </c>
      <c r="G99" s="6" t="s">
        <v>280</v>
      </c>
    </row>
    <row r="100" spans="2:12" ht="18" thickBot="1" x14ac:dyDescent="0.35">
      <c r="B100" s="3" t="s">
        <v>72</v>
      </c>
      <c r="C100" s="4" t="s">
        <v>35</v>
      </c>
      <c r="D100" s="4" t="s">
        <v>95</v>
      </c>
      <c r="E100" s="4" t="s">
        <v>10</v>
      </c>
      <c r="F100" s="4" t="s">
        <v>89</v>
      </c>
      <c r="G100" s="4" t="s">
        <v>38</v>
      </c>
    </row>
    <row r="101" spans="2:12" ht="18" thickTop="1" x14ac:dyDescent="0.3">
      <c r="B101" s="11" t="s">
        <v>30</v>
      </c>
      <c r="C101" s="6" t="s">
        <v>261</v>
      </c>
      <c r="D101" s="6" t="s">
        <v>267</v>
      </c>
      <c r="E101" s="6" t="s">
        <v>274</v>
      </c>
      <c r="F101" s="6" t="s">
        <v>275</v>
      </c>
      <c r="G101" s="6" t="s">
        <v>265</v>
      </c>
    </row>
    <row r="102" spans="2:12" ht="18" thickBot="1" x14ac:dyDescent="0.35">
      <c r="B102" s="3" t="s">
        <v>73</v>
      </c>
      <c r="C102" s="4" t="s">
        <v>8</v>
      </c>
      <c r="D102" s="4" t="s">
        <v>88</v>
      </c>
      <c r="E102" s="4" t="s">
        <v>196</v>
      </c>
      <c r="F102" s="4" t="s">
        <v>8</v>
      </c>
      <c r="G102" s="4" t="s">
        <v>256</v>
      </c>
    </row>
    <row r="103" spans="2:12" ht="18" thickTop="1" x14ac:dyDescent="0.3">
      <c r="B103" s="11" t="s">
        <v>39</v>
      </c>
      <c r="C103" s="6" t="s">
        <v>260</v>
      </c>
      <c r="D103" s="6" t="s">
        <v>268</v>
      </c>
      <c r="E103" s="6" t="s">
        <v>271</v>
      </c>
      <c r="F103" s="6" t="s">
        <v>278</v>
      </c>
      <c r="G103" s="6" t="s">
        <v>268</v>
      </c>
    </row>
    <row r="104" spans="2:12" ht="18" thickBot="1" x14ac:dyDescent="0.35">
      <c r="B104" s="3" t="s">
        <v>74</v>
      </c>
      <c r="C104" s="4" t="s">
        <v>17</v>
      </c>
      <c r="D104" s="4" t="s">
        <v>9</v>
      </c>
      <c r="E104" s="4" t="s">
        <v>47</v>
      </c>
      <c r="F104" s="4" t="s">
        <v>97</v>
      </c>
      <c r="G104" s="4" t="s">
        <v>9</v>
      </c>
    </row>
    <row r="105" spans="2:12" ht="15.6" thickTop="1" thickBot="1" x14ac:dyDescent="0.35"/>
    <row r="106" spans="2:12" ht="22.2" thickTop="1" thickBot="1" x14ac:dyDescent="0.35">
      <c r="B106" s="114" t="str">
        <f>_xlfn.CONCAT("HORÁRIO TURMA ENEM - TURMA 05")</f>
        <v>HORÁRIO TURMA ENEM - TURMA 05</v>
      </c>
      <c r="C106" s="115"/>
      <c r="D106" s="115"/>
      <c r="E106" s="115"/>
      <c r="F106" s="115"/>
      <c r="G106" s="116"/>
    </row>
    <row r="107" spans="2:12" ht="18.600000000000001" thickTop="1" thickBot="1" x14ac:dyDescent="0.35">
      <c r="B107" s="1"/>
      <c r="C107" s="2" t="s">
        <v>0</v>
      </c>
      <c r="D107" s="2" t="s">
        <v>1</v>
      </c>
      <c r="E107" s="2" t="s">
        <v>2</v>
      </c>
      <c r="F107" s="2" t="s">
        <v>3</v>
      </c>
      <c r="G107" s="2" t="s">
        <v>4</v>
      </c>
    </row>
    <row r="108" spans="2:12" ht="18" thickTop="1" x14ac:dyDescent="0.3">
      <c r="B108" s="11" t="s">
        <v>5</v>
      </c>
      <c r="C108" s="6" t="s">
        <v>260</v>
      </c>
      <c r="D108" s="6" t="s">
        <v>268</v>
      </c>
      <c r="E108" s="6" t="s">
        <v>271</v>
      </c>
      <c r="F108" s="6" t="s">
        <v>278</v>
      </c>
      <c r="G108" s="6" t="s">
        <v>268</v>
      </c>
    </row>
    <row r="109" spans="2:12" ht="18" thickBot="1" x14ac:dyDescent="0.35">
      <c r="B109" s="3" t="s">
        <v>68</v>
      </c>
      <c r="C109" s="4" t="s">
        <v>17</v>
      </c>
      <c r="D109" s="4" t="s">
        <v>9</v>
      </c>
      <c r="E109" s="4" t="s">
        <v>47</v>
      </c>
      <c r="F109" s="4" t="s">
        <v>97</v>
      </c>
      <c r="G109" s="4" t="s">
        <v>9</v>
      </c>
    </row>
    <row r="110" spans="2:12" ht="18" thickTop="1" x14ac:dyDescent="0.3">
      <c r="B110" s="11" t="s">
        <v>12</v>
      </c>
      <c r="C110" s="6" t="s">
        <v>263</v>
      </c>
      <c r="D110" s="6" t="s">
        <v>270</v>
      </c>
      <c r="E110" s="6" t="s">
        <v>272</v>
      </c>
      <c r="F110" s="6" t="s">
        <v>276</v>
      </c>
      <c r="G110" s="6" t="s">
        <v>279</v>
      </c>
      <c r="I110" s="6" t="s">
        <v>260</v>
      </c>
      <c r="L110" s="6" t="s">
        <v>277</v>
      </c>
    </row>
    <row r="111" spans="2:12" ht="18" thickBot="1" x14ac:dyDescent="0.35">
      <c r="B111" s="3" t="s">
        <v>69</v>
      </c>
      <c r="C111" s="4" t="s">
        <v>291</v>
      </c>
      <c r="D111" s="4" t="s">
        <v>79</v>
      </c>
      <c r="E111" s="4" t="s">
        <v>67</v>
      </c>
      <c r="F111" s="4" t="s">
        <v>48</v>
      </c>
      <c r="G111" s="4" t="s">
        <v>11</v>
      </c>
      <c r="I111" s="4" t="s">
        <v>17</v>
      </c>
      <c r="L111" s="4" t="s">
        <v>222</v>
      </c>
    </row>
    <row r="112" spans="2:12" ht="18" thickTop="1" x14ac:dyDescent="0.3">
      <c r="B112" s="11" t="s">
        <v>18</v>
      </c>
      <c r="C112" s="6" t="s">
        <v>19</v>
      </c>
      <c r="D112" s="6" t="s">
        <v>101</v>
      </c>
      <c r="E112" s="6" t="s">
        <v>273</v>
      </c>
      <c r="F112" s="6" t="s">
        <v>262</v>
      </c>
      <c r="G112" s="6" t="s">
        <v>281</v>
      </c>
    </row>
    <row r="113" spans="2:9" ht="18" thickBot="1" x14ac:dyDescent="0.35">
      <c r="B113" s="3" t="s">
        <v>70</v>
      </c>
      <c r="C113" s="4" t="s">
        <v>10</v>
      </c>
      <c r="D113" s="4" t="s">
        <v>27</v>
      </c>
      <c r="E113" s="4" t="s">
        <v>36</v>
      </c>
      <c r="F113" s="4" t="s">
        <v>90</v>
      </c>
      <c r="G113" s="4" t="s">
        <v>21</v>
      </c>
    </row>
    <row r="114" spans="2:9" ht="18.600000000000001" thickTop="1" thickBot="1" x14ac:dyDescent="0.35">
      <c r="B114" s="5" t="s">
        <v>71</v>
      </c>
      <c r="C114" s="117" t="s">
        <v>23</v>
      </c>
      <c r="D114" s="118"/>
      <c r="E114" s="118"/>
      <c r="F114" s="118"/>
      <c r="G114" s="119"/>
    </row>
    <row r="115" spans="2:9" ht="18" thickTop="1" x14ac:dyDescent="0.3">
      <c r="B115" s="11" t="s">
        <v>24</v>
      </c>
      <c r="C115" s="6" t="s">
        <v>179</v>
      </c>
      <c r="D115" s="6" t="s">
        <v>269</v>
      </c>
      <c r="E115" s="6" t="s">
        <v>25</v>
      </c>
      <c r="F115" s="6" t="s">
        <v>277</v>
      </c>
      <c r="G115" s="6" t="s">
        <v>40</v>
      </c>
    </row>
    <row r="116" spans="2:9" ht="18" thickBot="1" x14ac:dyDescent="0.35">
      <c r="B116" s="3" t="s">
        <v>72</v>
      </c>
      <c r="C116" s="4" t="s">
        <v>293</v>
      </c>
      <c r="D116" s="4" t="s">
        <v>35</v>
      </c>
      <c r="E116" s="4" t="s">
        <v>28</v>
      </c>
      <c r="F116" s="4" t="s">
        <v>222</v>
      </c>
      <c r="G116" s="4" t="s">
        <v>49</v>
      </c>
    </row>
    <row r="117" spans="2:9" ht="18" thickTop="1" x14ac:dyDescent="0.3">
      <c r="B117" s="11" t="s">
        <v>30</v>
      </c>
      <c r="C117" s="6" t="s">
        <v>264</v>
      </c>
      <c r="D117" s="6" t="s">
        <v>266</v>
      </c>
      <c r="E117" s="6" t="s">
        <v>19</v>
      </c>
      <c r="F117" s="6" t="s">
        <v>16</v>
      </c>
      <c r="G117" s="6" t="s">
        <v>280</v>
      </c>
      <c r="I117" s="6" t="s">
        <v>179</v>
      </c>
    </row>
    <row r="118" spans="2:9" ht="18" thickBot="1" x14ac:dyDescent="0.35">
      <c r="B118" s="3" t="s">
        <v>73</v>
      </c>
      <c r="C118" s="4" t="s">
        <v>35</v>
      </c>
      <c r="D118" s="4" t="s">
        <v>95</v>
      </c>
      <c r="E118" s="4" t="s">
        <v>10</v>
      </c>
      <c r="F118" s="4" t="s">
        <v>89</v>
      </c>
      <c r="G118" s="4" t="s">
        <v>38</v>
      </c>
      <c r="I118" s="4" t="s">
        <v>110</v>
      </c>
    </row>
    <row r="119" spans="2:9" ht="18" thickTop="1" x14ac:dyDescent="0.3">
      <c r="B119" s="11" t="s">
        <v>39</v>
      </c>
      <c r="C119" s="6" t="s">
        <v>261</v>
      </c>
      <c r="D119" s="6" t="s">
        <v>267</v>
      </c>
      <c r="E119" s="6" t="s">
        <v>274</v>
      </c>
      <c r="F119" s="6" t="s">
        <v>275</v>
      </c>
      <c r="G119" s="6" t="s">
        <v>265</v>
      </c>
    </row>
    <row r="120" spans="2:9" ht="18" thickBot="1" x14ac:dyDescent="0.35">
      <c r="B120" s="3" t="s">
        <v>74</v>
      </c>
      <c r="C120" s="4" t="s">
        <v>8</v>
      </c>
      <c r="D120" s="4" t="s">
        <v>88</v>
      </c>
      <c r="E120" s="4" t="s">
        <v>196</v>
      </c>
      <c r="F120" s="4" t="s">
        <v>8</v>
      </c>
      <c r="G120" s="4" t="s">
        <v>256</v>
      </c>
    </row>
    <row r="121" spans="2:9" ht="15" thickTop="1" x14ac:dyDescent="0.3"/>
  </sheetData>
  <mergeCells count="15">
    <mergeCell ref="C114:G114"/>
    <mergeCell ref="B58:G58"/>
    <mergeCell ref="C66:G66"/>
    <mergeCell ref="B74:G74"/>
    <mergeCell ref="C82:G82"/>
    <mergeCell ref="B90:G90"/>
    <mergeCell ref="B42:G42"/>
    <mergeCell ref="C50:G50"/>
    <mergeCell ref="C98:G98"/>
    <mergeCell ref="B106:G106"/>
    <mergeCell ref="B2:G2"/>
    <mergeCell ref="C10:G10"/>
    <mergeCell ref="B17:G17"/>
    <mergeCell ref="B26:G26"/>
    <mergeCell ref="C34:G34"/>
  </mergeCells>
  <printOptions horizontalCentered="1"/>
  <pageMargins left="0.51181102362204722" right="0.51181102362204722" top="1.9685039370078741" bottom="1.9685039370078741" header="0.31496062992125984" footer="0.31496062992125984"/>
  <pageSetup paperSize="9" scale="41" fitToHeight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E8CB0C-DABD-4852-96ED-92046C50D4DF}">
  <sheetPr codeName="Planilha9"/>
  <dimension ref="B1:J137"/>
  <sheetViews>
    <sheetView topLeftCell="A111" zoomScale="86" zoomScaleNormal="86" workbookViewId="0">
      <selection activeCell="B90" sqref="B90:G136"/>
    </sheetView>
  </sheetViews>
  <sheetFormatPr defaultRowHeight="14.4" x14ac:dyDescent="0.3"/>
  <cols>
    <col min="2" max="2" width="16.33203125" customWidth="1"/>
    <col min="3" max="3" width="27.44140625" customWidth="1"/>
    <col min="4" max="4" width="27.6640625" customWidth="1"/>
    <col min="5" max="5" width="29.5546875" customWidth="1"/>
    <col min="6" max="6" width="30.44140625" customWidth="1"/>
    <col min="7" max="8" width="30.6640625" customWidth="1"/>
  </cols>
  <sheetData>
    <row r="1" spans="2:10" ht="15" thickBot="1" x14ac:dyDescent="0.35"/>
    <row r="2" spans="2:10" ht="22.2" thickTop="1" thickBot="1" x14ac:dyDescent="0.35">
      <c r="B2" s="114" t="s">
        <v>58</v>
      </c>
      <c r="C2" s="115"/>
      <c r="D2" s="115"/>
      <c r="E2" s="115"/>
      <c r="F2" s="115"/>
      <c r="G2" s="116"/>
    </row>
    <row r="3" spans="2:10" ht="24" customHeight="1" thickTop="1" thickBot="1" x14ac:dyDescent="0.35">
      <c r="B3" s="1"/>
      <c r="C3" s="2" t="s">
        <v>0</v>
      </c>
      <c r="D3" s="2" t="s">
        <v>1</v>
      </c>
      <c r="E3" s="2" t="s">
        <v>2</v>
      </c>
      <c r="F3" s="2" t="s">
        <v>3</v>
      </c>
      <c r="G3" s="2" t="s">
        <v>4</v>
      </c>
    </row>
    <row r="4" spans="2:10" ht="19.5" customHeight="1" thickTop="1" thickBot="1" x14ac:dyDescent="0.35">
      <c r="B4" s="11" t="s">
        <v>5</v>
      </c>
      <c r="C4" s="6" t="s">
        <v>6</v>
      </c>
      <c r="D4" s="6" t="s">
        <v>7</v>
      </c>
      <c r="E4" s="6" t="s">
        <v>19</v>
      </c>
      <c r="F4" s="6" t="s">
        <v>6</v>
      </c>
      <c r="G4" s="6" t="s">
        <v>7</v>
      </c>
    </row>
    <row r="5" spans="2:10" ht="18" thickBot="1" x14ac:dyDescent="0.35">
      <c r="B5" s="3" t="s">
        <v>68</v>
      </c>
      <c r="C5" s="10" t="s">
        <v>8</v>
      </c>
      <c r="D5" s="4" t="s">
        <v>9</v>
      </c>
      <c r="E5" s="4" t="s">
        <v>10</v>
      </c>
      <c r="F5" s="10" t="s">
        <v>8</v>
      </c>
      <c r="G5" s="4" t="s">
        <v>9</v>
      </c>
    </row>
    <row r="6" spans="2:10" ht="18" thickTop="1" x14ac:dyDescent="0.3">
      <c r="B6" s="11" t="s">
        <v>12</v>
      </c>
      <c r="C6" s="6" t="s">
        <v>13</v>
      </c>
      <c r="D6" s="6" t="s">
        <v>78</v>
      </c>
      <c r="E6" s="6" t="s">
        <v>25</v>
      </c>
      <c r="F6" s="6" t="s">
        <v>33</v>
      </c>
      <c r="G6" s="13" t="s">
        <v>75</v>
      </c>
      <c r="J6" s="6" t="s">
        <v>14</v>
      </c>
    </row>
    <row r="7" spans="2:10" ht="18" thickBot="1" x14ac:dyDescent="0.35">
      <c r="B7" s="3" t="s">
        <v>69</v>
      </c>
      <c r="C7" s="4" t="s">
        <v>17</v>
      </c>
      <c r="D7" s="4" t="s">
        <v>27</v>
      </c>
      <c r="E7" s="4" t="s">
        <v>28</v>
      </c>
      <c r="F7" s="4" t="s">
        <v>37</v>
      </c>
      <c r="G7" s="4" t="s">
        <v>11</v>
      </c>
      <c r="J7" s="4" t="s">
        <v>52</v>
      </c>
    </row>
    <row r="8" spans="2:10" ht="18" thickTop="1" x14ac:dyDescent="0.3">
      <c r="B8" s="11" t="s">
        <v>18</v>
      </c>
      <c r="C8" s="6" t="s">
        <v>19</v>
      </c>
      <c r="D8" s="6" t="s">
        <v>54</v>
      </c>
      <c r="E8" s="6" t="s">
        <v>54</v>
      </c>
      <c r="F8" s="6" t="s">
        <v>54</v>
      </c>
      <c r="G8" s="6" t="s">
        <v>54</v>
      </c>
    </row>
    <row r="9" spans="2:10" ht="18" thickBot="1" x14ac:dyDescent="0.35">
      <c r="B9" s="3" t="s">
        <v>70</v>
      </c>
      <c r="C9" s="4" t="s">
        <v>10</v>
      </c>
      <c r="D9" s="4" t="s">
        <v>53</v>
      </c>
      <c r="E9" s="4" t="s">
        <v>53</v>
      </c>
      <c r="F9" s="4" t="s">
        <v>53</v>
      </c>
      <c r="G9" s="4" t="s">
        <v>53</v>
      </c>
      <c r="J9" s="6" t="s">
        <v>43</v>
      </c>
    </row>
    <row r="10" spans="2:10" ht="18.600000000000001" thickTop="1" thickBot="1" x14ac:dyDescent="0.35">
      <c r="B10" s="5" t="s">
        <v>71</v>
      </c>
      <c r="C10" s="117" t="s">
        <v>23</v>
      </c>
      <c r="D10" s="118"/>
      <c r="E10" s="118"/>
      <c r="F10" s="118"/>
      <c r="G10" s="119"/>
      <c r="J10" s="4" t="s">
        <v>48</v>
      </c>
    </row>
    <row r="11" spans="2:10" ht="18" thickTop="1" x14ac:dyDescent="0.3">
      <c r="B11" s="11" t="s">
        <v>24</v>
      </c>
      <c r="C11" s="6" t="s">
        <v>15</v>
      </c>
      <c r="D11" s="6" t="s">
        <v>14</v>
      </c>
      <c r="E11" s="6" t="s">
        <v>32</v>
      </c>
      <c r="F11" s="6" t="s">
        <v>43</v>
      </c>
      <c r="G11" s="6" t="s">
        <v>34</v>
      </c>
    </row>
    <row r="12" spans="2:10" ht="18" customHeight="1" thickBot="1" x14ac:dyDescent="0.35">
      <c r="B12" s="3" t="s">
        <v>72</v>
      </c>
      <c r="C12" s="4" t="s">
        <v>76</v>
      </c>
      <c r="D12" s="4" t="s">
        <v>77</v>
      </c>
      <c r="E12" s="4" t="s">
        <v>36</v>
      </c>
      <c r="F12" s="4" t="s">
        <v>48</v>
      </c>
      <c r="G12" s="4" t="s">
        <v>38</v>
      </c>
    </row>
    <row r="13" spans="2:10" ht="18.600000000000001" thickTop="1" thickBot="1" x14ac:dyDescent="0.35">
      <c r="B13" s="11" t="s">
        <v>30</v>
      </c>
      <c r="C13" s="6" t="s">
        <v>31</v>
      </c>
      <c r="D13" s="6" t="s">
        <v>57</v>
      </c>
      <c r="E13" s="6" t="s">
        <v>42</v>
      </c>
      <c r="F13" s="6" t="s">
        <v>20</v>
      </c>
      <c r="G13" s="6" t="s">
        <v>44</v>
      </c>
      <c r="J13" s="6" t="s">
        <v>34</v>
      </c>
    </row>
    <row r="14" spans="2:10" ht="18" thickBot="1" x14ac:dyDescent="0.35">
      <c r="B14" s="3" t="s">
        <v>73</v>
      </c>
      <c r="C14" s="4" t="s">
        <v>35</v>
      </c>
      <c r="D14" s="10" t="s">
        <v>35</v>
      </c>
      <c r="E14" s="4" t="s">
        <v>47</v>
      </c>
      <c r="F14" s="4" t="s">
        <v>22</v>
      </c>
      <c r="G14" s="10" t="s">
        <v>49</v>
      </c>
      <c r="J14" s="4" t="s">
        <v>38</v>
      </c>
    </row>
    <row r="15" spans="2:10" ht="18" thickTop="1" x14ac:dyDescent="0.3">
      <c r="B15" s="11" t="s">
        <v>39</v>
      </c>
      <c r="C15" s="6" t="s">
        <v>78</v>
      </c>
      <c r="D15" s="6" t="s">
        <v>41</v>
      </c>
      <c r="E15" s="6" t="s">
        <v>40</v>
      </c>
      <c r="F15" s="6" t="s">
        <v>26</v>
      </c>
      <c r="G15" s="6" t="s">
        <v>55</v>
      </c>
    </row>
    <row r="16" spans="2:10" ht="18" thickBot="1" x14ac:dyDescent="0.35">
      <c r="B16" s="3" t="s">
        <v>74</v>
      </c>
      <c r="C16" s="4" t="s">
        <v>27</v>
      </c>
      <c r="D16" s="4" t="s">
        <v>46</v>
      </c>
      <c r="E16" s="4" t="s">
        <v>45</v>
      </c>
      <c r="F16" s="4" t="s">
        <v>29</v>
      </c>
      <c r="G16" s="4" t="s">
        <v>79</v>
      </c>
    </row>
    <row r="17" spans="2:8" ht="18.600000000000001" thickTop="1" thickBot="1" x14ac:dyDescent="0.35">
      <c r="B17" s="117" t="s">
        <v>50</v>
      </c>
      <c r="C17" s="118"/>
      <c r="D17" s="118"/>
      <c r="E17" s="118"/>
      <c r="F17" s="118"/>
      <c r="G17" s="119"/>
    </row>
    <row r="18" spans="2:8" ht="18" thickTop="1" x14ac:dyDescent="0.35">
      <c r="B18" s="21"/>
      <c r="C18" s="7" t="s">
        <v>59</v>
      </c>
      <c r="D18" s="7" t="s">
        <v>59</v>
      </c>
      <c r="E18" s="7" t="s">
        <v>51</v>
      </c>
      <c r="F18" s="7" t="s">
        <v>83</v>
      </c>
      <c r="G18" s="18"/>
    </row>
    <row r="19" spans="2:8" ht="20.25" customHeight="1" thickBot="1" x14ac:dyDescent="0.4">
      <c r="B19" s="22"/>
      <c r="C19" s="8" t="s">
        <v>85</v>
      </c>
      <c r="D19" s="8" t="s">
        <v>82</v>
      </c>
      <c r="E19" s="8" t="s">
        <v>60</v>
      </c>
      <c r="F19" s="8" t="s">
        <v>84</v>
      </c>
      <c r="G19" s="20"/>
    </row>
    <row r="20" spans="2:8" ht="18.600000000000001" thickTop="1" thickBot="1" x14ac:dyDescent="0.4">
      <c r="B20" s="22"/>
      <c r="C20" s="9" t="s">
        <v>46</v>
      </c>
      <c r="D20" s="9" t="s">
        <v>77</v>
      </c>
      <c r="E20" s="4" t="s">
        <v>28</v>
      </c>
      <c r="F20" s="4" t="s">
        <v>79</v>
      </c>
      <c r="G20" s="19"/>
    </row>
    <row r="21" spans="2:8" ht="18" thickTop="1" x14ac:dyDescent="0.35">
      <c r="B21" s="22"/>
      <c r="C21" s="22"/>
      <c r="D21" s="17"/>
      <c r="E21" s="17"/>
      <c r="F21" s="17"/>
      <c r="G21" s="14"/>
    </row>
    <row r="22" spans="2:8" ht="17.399999999999999" x14ac:dyDescent="0.35">
      <c r="B22" s="22"/>
      <c r="C22" s="22"/>
      <c r="D22" s="15"/>
      <c r="E22" s="15"/>
      <c r="F22" s="15"/>
      <c r="G22" s="15"/>
    </row>
    <row r="23" spans="2:8" ht="17.399999999999999" x14ac:dyDescent="0.35">
      <c r="B23" s="22"/>
      <c r="C23" s="22" t="s">
        <v>100</v>
      </c>
      <c r="D23" s="16" t="s">
        <v>176</v>
      </c>
      <c r="E23" s="16"/>
      <c r="F23" s="16"/>
      <c r="G23" s="16"/>
    </row>
    <row r="25" spans="2:8" ht="15" thickBot="1" x14ac:dyDescent="0.35"/>
    <row r="26" spans="2:8" ht="22.2" thickTop="1" thickBot="1" x14ac:dyDescent="0.35">
      <c r="B26" s="130" t="str">
        <f>_xlfn.CONCAT("HORÁRIO MATEMÁTICA DAY - TURMA ENEM ","07/09")</f>
        <v>HORÁRIO MATEMÁTICA DAY - TURMA ENEM 07/09</v>
      </c>
      <c r="C26" s="131"/>
      <c r="D26" s="131"/>
      <c r="E26" s="131"/>
      <c r="F26" s="131"/>
      <c r="G26" s="132"/>
      <c r="H26" s="84"/>
    </row>
    <row r="27" spans="2:8" ht="18.600000000000001" thickTop="1" thickBot="1" x14ac:dyDescent="0.35">
      <c r="B27" s="1"/>
      <c r="C27" s="2" t="s">
        <v>173</v>
      </c>
      <c r="D27" s="2" t="s">
        <v>103</v>
      </c>
      <c r="E27" s="2" t="s">
        <v>104</v>
      </c>
      <c r="F27" s="2" t="s">
        <v>105</v>
      </c>
      <c r="G27" s="2" t="s">
        <v>106</v>
      </c>
      <c r="H27" s="2" t="s">
        <v>106</v>
      </c>
    </row>
    <row r="28" spans="2:8" ht="18" thickTop="1" x14ac:dyDescent="0.3">
      <c r="B28" s="11" t="s">
        <v>5</v>
      </c>
      <c r="C28" s="124" t="s">
        <v>11</v>
      </c>
      <c r="D28" s="124" t="s">
        <v>90</v>
      </c>
      <c r="E28" s="126" t="s">
        <v>17</v>
      </c>
      <c r="F28" s="124" t="s">
        <v>37</v>
      </c>
      <c r="G28" s="124" t="s">
        <v>47</v>
      </c>
      <c r="H28" s="6" t="s">
        <v>6</v>
      </c>
    </row>
    <row r="29" spans="2:8" ht="18" thickBot="1" x14ac:dyDescent="0.35">
      <c r="B29" s="3" t="s">
        <v>112</v>
      </c>
      <c r="C29" s="125"/>
      <c r="D29" s="125"/>
      <c r="E29" s="125"/>
      <c r="F29" s="125"/>
      <c r="G29" s="125"/>
      <c r="H29" s="4" t="s">
        <v>8</v>
      </c>
    </row>
    <row r="30" spans="2:8" ht="18" thickTop="1" x14ac:dyDescent="0.3">
      <c r="B30" s="11" t="s">
        <v>12</v>
      </c>
      <c r="C30" s="124" t="s">
        <v>47</v>
      </c>
      <c r="D30" s="124" t="s">
        <v>11</v>
      </c>
      <c r="E30" s="124" t="s">
        <v>90</v>
      </c>
      <c r="F30" s="126" t="s">
        <v>17</v>
      </c>
      <c r="G30" s="124" t="s">
        <v>37</v>
      </c>
      <c r="H30" s="6" t="s">
        <v>15</v>
      </c>
    </row>
    <row r="31" spans="2:8" ht="18" thickBot="1" x14ac:dyDescent="0.35">
      <c r="B31" s="3" t="s">
        <v>113</v>
      </c>
      <c r="C31" s="125"/>
      <c r="D31" s="125"/>
      <c r="E31" s="125"/>
      <c r="F31" s="125"/>
      <c r="G31" s="125"/>
      <c r="H31" s="4" t="s">
        <v>90</v>
      </c>
    </row>
    <row r="32" spans="2:8" ht="18" thickTop="1" x14ac:dyDescent="0.3">
      <c r="B32" s="11" t="s">
        <v>18</v>
      </c>
      <c r="C32" s="124" t="s">
        <v>37</v>
      </c>
      <c r="D32" s="124" t="s">
        <v>47</v>
      </c>
      <c r="E32" s="124" t="s">
        <v>11</v>
      </c>
      <c r="F32" s="124" t="s">
        <v>90</v>
      </c>
      <c r="G32" s="126" t="s">
        <v>17</v>
      </c>
      <c r="H32" s="6" t="s">
        <v>33</v>
      </c>
    </row>
    <row r="33" spans="2:9" ht="18" thickBot="1" x14ac:dyDescent="0.35">
      <c r="B33" s="3" t="s">
        <v>114</v>
      </c>
      <c r="C33" s="125"/>
      <c r="D33" s="125"/>
      <c r="E33" s="125"/>
      <c r="F33" s="125"/>
      <c r="G33" s="125"/>
      <c r="H33" s="4" t="s">
        <v>37</v>
      </c>
    </row>
    <row r="34" spans="2:9" ht="18.600000000000001" thickTop="1" thickBot="1" x14ac:dyDescent="0.35">
      <c r="B34" s="38" t="s">
        <v>172</v>
      </c>
      <c r="C34" s="127" t="s">
        <v>23</v>
      </c>
      <c r="D34" s="128"/>
      <c r="E34" s="128"/>
      <c r="F34" s="128"/>
      <c r="G34" s="129"/>
      <c r="H34" s="85"/>
    </row>
    <row r="35" spans="2:9" ht="18" thickTop="1" x14ac:dyDescent="0.3">
      <c r="B35" s="11" t="s">
        <v>24</v>
      </c>
      <c r="C35" s="126" t="s">
        <v>17</v>
      </c>
      <c r="D35" s="124" t="s">
        <v>37</v>
      </c>
      <c r="E35" s="124" t="s">
        <v>47</v>
      </c>
      <c r="F35" s="124" t="s">
        <v>11</v>
      </c>
      <c r="G35" s="124" t="s">
        <v>90</v>
      </c>
      <c r="H35" s="6" t="s">
        <v>26</v>
      </c>
    </row>
    <row r="36" spans="2:9" ht="18" thickBot="1" x14ac:dyDescent="0.35">
      <c r="B36" s="3" t="s">
        <v>166</v>
      </c>
      <c r="C36" s="125"/>
      <c r="D36" s="125"/>
      <c r="E36" s="125"/>
      <c r="F36" s="125"/>
      <c r="G36" s="125"/>
      <c r="H36" s="4" t="s">
        <v>97</v>
      </c>
    </row>
    <row r="37" spans="2:9" ht="18" thickTop="1" x14ac:dyDescent="0.3">
      <c r="B37" s="11" t="s">
        <v>30</v>
      </c>
      <c r="C37" s="124" t="s">
        <v>90</v>
      </c>
      <c r="D37" s="126" t="s">
        <v>17</v>
      </c>
      <c r="E37" s="124" t="s">
        <v>37</v>
      </c>
      <c r="F37" s="124" t="s">
        <v>47</v>
      </c>
      <c r="G37" s="124" t="s">
        <v>11</v>
      </c>
      <c r="H37" s="6" t="s">
        <v>16</v>
      </c>
    </row>
    <row r="38" spans="2:9" ht="18" thickBot="1" x14ac:dyDescent="0.35">
      <c r="B38" s="3" t="s">
        <v>167</v>
      </c>
      <c r="C38" s="125"/>
      <c r="D38" s="125"/>
      <c r="E38" s="125"/>
      <c r="F38" s="125"/>
      <c r="G38" s="125"/>
      <c r="H38" s="4" t="s">
        <v>89</v>
      </c>
    </row>
    <row r="39" spans="2:9" ht="18" hidden="1" thickTop="1" x14ac:dyDescent="0.3">
      <c r="B39" s="11" t="s">
        <v>39</v>
      </c>
      <c r="C39" s="6" t="s">
        <v>16</v>
      </c>
      <c r="D39" s="6" t="s">
        <v>26</v>
      </c>
      <c r="E39" s="6" t="s">
        <v>33</v>
      </c>
      <c r="F39" s="6" t="s">
        <v>15</v>
      </c>
      <c r="G39" s="6" t="s">
        <v>6</v>
      </c>
      <c r="H39" s="6" t="s">
        <v>32</v>
      </c>
    </row>
    <row r="40" spans="2:9" ht="18" hidden="1" thickBot="1" x14ac:dyDescent="0.35">
      <c r="B40" s="3" t="s">
        <v>74</v>
      </c>
      <c r="C40" s="4" t="s">
        <v>89</v>
      </c>
      <c r="D40" s="4" t="s">
        <v>97</v>
      </c>
      <c r="E40" s="4" t="s">
        <v>37</v>
      </c>
      <c r="F40" s="4" t="s">
        <v>90</v>
      </c>
      <c r="G40" s="4" t="s">
        <v>8</v>
      </c>
      <c r="H40" s="4" t="s">
        <v>48</v>
      </c>
    </row>
    <row r="41" spans="2:9" ht="15.6" thickTop="1" thickBot="1" x14ac:dyDescent="0.35"/>
    <row r="42" spans="2:9" ht="22.2" thickTop="1" thickBot="1" x14ac:dyDescent="0.35">
      <c r="B42" s="114" t="str">
        <f>_xlfn.CONCAT("HORÁRIO TURMA ENEM ",dataSem," - TURMA ONLINE / TURMA 01")</f>
        <v>HORÁRIO TURMA ENEM 10/10 - 14/10 - TURMA ONLINE / TURMA 01</v>
      </c>
      <c r="C42" s="115"/>
      <c r="D42" s="115"/>
      <c r="E42" s="115"/>
      <c r="F42" s="115"/>
      <c r="G42" s="116"/>
    </row>
    <row r="43" spans="2:9" ht="18.600000000000001" thickTop="1" thickBot="1" x14ac:dyDescent="0.35">
      <c r="B43" s="1"/>
      <c r="C43" s="2" t="s">
        <v>0</v>
      </c>
      <c r="D43" s="2" t="s">
        <v>1</v>
      </c>
      <c r="E43" s="2" t="s">
        <v>2</v>
      </c>
      <c r="F43" s="2" t="s">
        <v>3</v>
      </c>
      <c r="G43" s="2" t="s">
        <v>4</v>
      </c>
    </row>
    <row r="44" spans="2:9" ht="18" customHeight="1" thickTop="1" x14ac:dyDescent="0.3">
      <c r="B44" s="11" t="s">
        <v>5</v>
      </c>
      <c r="C44" s="6" t="s">
        <v>6</v>
      </c>
      <c r="D44" s="35" t="s">
        <v>55</v>
      </c>
      <c r="E44" s="121" t="s">
        <v>177</v>
      </c>
      <c r="F44" s="6" t="s">
        <v>32</v>
      </c>
      <c r="G44" s="6" t="s">
        <v>57</v>
      </c>
    </row>
    <row r="45" spans="2:9" ht="18" thickBot="1" x14ac:dyDescent="0.35">
      <c r="B45" s="3" t="s">
        <v>68</v>
      </c>
      <c r="C45" s="4" t="s">
        <v>8</v>
      </c>
      <c r="D45" s="36" t="s">
        <v>79</v>
      </c>
      <c r="E45" s="122"/>
      <c r="F45" s="4" t="s">
        <v>48</v>
      </c>
      <c r="G45" s="4" t="s">
        <v>11</v>
      </c>
    </row>
    <row r="46" spans="2:9" ht="18" thickTop="1" x14ac:dyDescent="0.3">
      <c r="B46" s="11" t="s">
        <v>12</v>
      </c>
      <c r="C46" s="6" t="s">
        <v>13</v>
      </c>
      <c r="D46" s="35" t="s">
        <v>14</v>
      </c>
      <c r="E46" s="122"/>
      <c r="F46" s="6" t="s">
        <v>6</v>
      </c>
      <c r="G46" s="6" t="s">
        <v>96</v>
      </c>
    </row>
    <row r="47" spans="2:9" ht="18" thickBot="1" x14ac:dyDescent="0.35">
      <c r="B47" s="3" t="s">
        <v>69</v>
      </c>
      <c r="C47" s="4" t="s">
        <v>17</v>
      </c>
      <c r="D47" s="36" t="s">
        <v>52</v>
      </c>
      <c r="E47" s="122"/>
      <c r="F47" s="4" t="s">
        <v>8</v>
      </c>
      <c r="G47" s="4" t="s">
        <v>91</v>
      </c>
      <c r="I47" s="6"/>
    </row>
    <row r="48" spans="2:9" ht="18.600000000000001" thickTop="1" thickBot="1" x14ac:dyDescent="0.35">
      <c r="B48" s="11" t="s">
        <v>18</v>
      </c>
      <c r="C48" s="6" t="s">
        <v>19</v>
      </c>
      <c r="D48" s="35" t="s">
        <v>7</v>
      </c>
      <c r="E48" s="122"/>
      <c r="F48" s="6" t="s">
        <v>33</v>
      </c>
      <c r="G48" s="6" t="s">
        <v>7</v>
      </c>
      <c r="I48" s="10"/>
    </row>
    <row r="49" spans="2:8" ht="18.600000000000001" thickTop="1" thickBot="1" x14ac:dyDescent="0.35">
      <c r="B49" s="3" t="s">
        <v>70</v>
      </c>
      <c r="C49" s="4" t="s">
        <v>10</v>
      </c>
      <c r="D49" s="36" t="s">
        <v>9</v>
      </c>
      <c r="E49" s="122"/>
      <c r="F49" s="4" t="s">
        <v>37</v>
      </c>
      <c r="G49" s="4" t="s">
        <v>9</v>
      </c>
    </row>
    <row r="50" spans="2:8" ht="18.600000000000001" thickTop="1" thickBot="1" x14ac:dyDescent="0.35">
      <c r="B50" s="5" t="s">
        <v>71</v>
      </c>
      <c r="C50" s="117" t="s">
        <v>23</v>
      </c>
      <c r="D50" s="118"/>
      <c r="E50" s="122"/>
      <c r="F50" s="117" t="s">
        <v>23</v>
      </c>
      <c r="G50" s="118"/>
      <c r="H50" s="39"/>
    </row>
    <row r="51" spans="2:8" ht="18" thickTop="1" x14ac:dyDescent="0.3">
      <c r="B51" s="11" t="s">
        <v>24</v>
      </c>
      <c r="C51" s="6" t="s">
        <v>20</v>
      </c>
      <c r="D51" s="35" t="s">
        <v>78</v>
      </c>
      <c r="E51" s="122"/>
      <c r="F51" s="6" t="s">
        <v>15</v>
      </c>
      <c r="G51" s="6" t="s">
        <v>86</v>
      </c>
    </row>
    <row r="52" spans="2:8" ht="18" thickBot="1" x14ac:dyDescent="0.35">
      <c r="B52" s="3" t="s">
        <v>72</v>
      </c>
      <c r="C52" s="4" t="s">
        <v>53</v>
      </c>
      <c r="D52" s="36" t="s">
        <v>174</v>
      </c>
      <c r="E52" s="122"/>
      <c r="F52" s="4" t="s">
        <v>90</v>
      </c>
      <c r="G52" s="4" t="s">
        <v>21</v>
      </c>
    </row>
    <row r="53" spans="2:8" ht="18" thickTop="1" x14ac:dyDescent="0.3">
      <c r="B53" s="11" t="s">
        <v>30</v>
      </c>
      <c r="C53" s="6" t="s">
        <v>78</v>
      </c>
      <c r="D53" s="35" t="s">
        <v>54</v>
      </c>
      <c r="E53" s="122"/>
      <c r="F53" s="6" t="s">
        <v>40</v>
      </c>
      <c r="G53" s="6" t="s">
        <v>40</v>
      </c>
    </row>
    <row r="54" spans="2:8" ht="18" thickBot="1" x14ac:dyDescent="0.35">
      <c r="B54" s="3" t="s">
        <v>73</v>
      </c>
      <c r="C54" s="4" t="s">
        <v>174</v>
      </c>
      <c r="D54" s="36" t="s">
        <v>22</v>
      </c>
      <c r="E54" s="122"/>
      <c r="F54" s="4" t="s">
        <v>49</v>
      </c>
      <c r="G54" s="4" t="s">
        <v>49</v>
      </c>
    </row>
    <row r="55" spans="2:8" ht="18" thickTop="1" x14ac:dyDescent="0.3">
      <c r="B55" s="11" t="s">
        <v>39</v>
      </c>
      <c r="C55" s="6" t="s">
        <v>31</v>
      </c>
      <c r="D55" s="35" t="s">
        <v>75</v>
      </c>
      <c r="E55" s="122"/>
      <c r="F55" s="6" t="s">
        <v>26</v>
      </c>
      <c r="G55" s="6" t="s">
        <v>34</v>
      </c>
    </row>
    <row r="56" spans="2:8" ht="18" thickBot="1" x14ac:dyDescent="0.35">
      <c r="B56" s="3" t="s">
        <v>74</v>
      </c>
      <c r="C56" s="4" t="s">
        <v>35</v>
      </c>
      <c r="D56" s="36" t="s">
        <v>35</v>
      </c>
      <c r="E56" s="123"/>
      <c r="F56" s="4" t="s">
        <v>97</v>
      </c>
      <c r="G56" s="4" t="s">
        <v>38</v>
      </c>
    </row>
    <row r="57" spans="2:8" ht="15.6" thickTop="1" thickBot="1" x14ac:dyDescent="0.35"/>
    <row r="58" spans="2:8" ht="22.2" thickTop="1" thickBot="1" x14ac:dyDescent="0.35">
      <c r="B58" s="114" t="str">
        <f>_xlfn.CONCAT("HORÁRIO TURMA ENEM ",dataSem," - TURMA 02")</f>
        <v>HORÁRIO TURMA ENEM 10/10 - 14/10 - TURMA 02</v>
      </c>
      <c r="C58" s="115"/>
      <c r="D58" s="115"/>
      <c r="E58" s="115"/>
      <c r="F58" s="115"/>
      <c r="G58" s="116"/>
    </row>
    <row r="59" spans="2:8" ht="18.600000000000001" thickTop="1" thickBot="1" x14ac:dyDescent="0.35">
      <c r="B59" s="1"/>
      <c r="C59" s="2" t="s">
        <v>0</v>
      </c>
      <c r="D59" s="2" t="s">
        <v>1</v>
      </c>
      <c r="E59" s="2" t="s">
        <v>2</v>
      </c>
      <c r="F59" s="2" t="s">
        <v>3</v>
      </c>
      <c r="G59" s="2" t="s">
        <v>4</v>
      </c>
    </row>
    <row r="60" spans="2:8" ht="18" customHeight="1" thickTop="1" x14ac:dyDescent="0.3">
      <c r="B60" s="11" t="s">
        <v>5</v>
      </c>
      <c r="C60" s="6" t="s">
        <v>31</v>
      </c>
      <c r="D60" s="6" t="s">
        <v>75</v>
      </c>
      <c r="E60" s="121" t="s">
        <v>177</v>
      </c>
      <c r="F60" s="6" t="s">
        <v>26</v>
      </c>
      <c r="G60" s="6" t="s">
        <v>34</v>
      </c>
    </row>
    <row r="61" spans="2:8" ht="18" thickBot="1" x14ac:dyDescent="0.35">
      <c r="B61" s="3" t="s">
        <v>68</v>
      </c>
      <c r="C61" s="4" t="s">
        <v>35</v>
      </c>
      <c r="D61" s="4" t="s">
        <v>35</v>
      </c>
      <c r="E61" s="122"/>
      <c r="F61" s="4" t="s">
        <v>97</v>
      </c>
      <c r="G61" s="4" t="s">
        <v>38</v>
      </c>
    </row>
    <row r="62" spans="2:8" ht="18" thickTop="1" x14ac:dyDescent="0.3">
      <c r="B62" s="11" t="s">
        <v>12</v>
      </c>
      <c r="C62" s="6" t="s">
        <v>6</v>
      </c>
      <c r="D62" s="6" t="s">
        <v>55</v>
      </c>
      <c r="E62" s="122"/>
      <c r="F62" s="6" t="s">
        <v>32</v>
      </c>
      <c r="G62" s="6" t="s">
        <v>57</v>
      </c>
    </row>
    <row r="63" spans="2:8" ht="18" thickBot="1" x14ac:dyDescent="0.35">
      <c r="B63" s="3" t="s">
        <v>69</v>
      </c>
      <c r="C63" s="4" t="s">
        <v>8</v>
      </c>
      <c r="D63" s="4" t="s">
        <v>79</v>
      </c>
      <c r="E63" s="122"/>
      <c r="F63" s="4" t="s">
        <v>48</v>
      </c>
      <c r="G63" s="4" t="s">
        <v>11</v>
      </c>
    </row>
    <row r="64" spans="2:8" ht="18" thickTop="1" x14ac:dyDescent="0.3">
      <c r="B64" s="11" t="s">
        <v>18</v>
      </c>
      <c r="C64" s="6" t="s">
        <v>13</v>
      </c>
      <c r="D64" s="6" t="s">
        <v>14</v>
      </c>
      <c r="E64" s="122"/>
      <c r="F64" s="6" t="s">
        <v>6</v>
      </c>
      <c r="G64" s="6" t="s">
        <v>96</v>
      </c>
    </row>
    <row r="65" spans="2:7" ht="18" thickBot="1" x14ac:dyDescent="0.35">
      <c r="B65" s="3" t="s">
        <v>70</v>
      </c>
      <c r="C65" s="4" t="s">
        <v>17</v>
      </c>
      <c r="D65" s="4" t="s">
        <v>52</v>
      </c>
      <c r="E65" s="122"/>
      <c r="F65" s="4" t="s">
        <v>8</v>
      </c>
      <c r="G65" s="4" t="s">
        <v>91</v>
      </c>
    </row>
    <row r="66" spans="2:7" ht="18.600000000000001" thickTop="1" thickBot="1" x14ac:dyDescent="0.35">
      <c r="B66" s="5" t="s">
        <v>71</v>
      </c>
      <c r="C66" s="117" t="s">
        <v>23</v>
      </c>
      <c r="D66" s="118"/>
      <c r="E66" s="122"/>
      <c r="F66" s="117" t="s">
        <v>23</v>
      </c>
      <c r="G66" s="120"/>
    </row>
    <row r="67" spans="2:7" ht="18" thickTop="1" x14ac:dyDescent="0.3">
      <c r="B67" s="11" t="s">
        <v>24</v>
      </c>
      <c r="C67" s="6" t="s">
        <v>19</v>
      </c>
      <c r="D67" s="6" t="s">
        <v>7</v>
      </c>
      <c r="E67" s="122"/>
      <c r="F67" s="6" t="s">
        <v>33</v>
      </c>
      <c r="G67" s="6" t="s">
        <v>7</v>
      </c>
    </row>
    <row r="68" spans="2:7" ht="18" thickBot="1" x14ac:dyDescent="0.35">
      <c r="B68" s="3" t="s">
        <v>72</v>
      </c>
      <c r="C68" s="4" t="s">
        <v>10</v>
      </c>
      <c r="D68" s="4" t="s">
        <v>9</v>
      </c>
      <c r="E68" s="122"/>
      <c r="F68" s="4" t="s">
        <v>37</v>
      </c>
      <c r="G68" s="4" t="s">
        <v>9</v>
      </c>
    </row>
    <row r="69" spans="2:7" ht="18" thickTop="1" x14ac:dyDescent="0.3">
      <c r="B69" s="11" t="s">
        <v>30</v>
      </c>
      <c r="C69" s="6" t="s">
        <v>20</v>
      </c>
      <c r="D69" s="6" t="s">
        <v>78</v>
      </c>
      <c r="E69" s="122"/>
      <c r="F69" s="6" t="s">
        <v>15</v>
      </c>
      <c r="G69" s="6" t="s">
        <v>86</v>
      </c>
    </row>
    <row r="70" spans="2:7" ht="18" thickBot="1" x14ac:dyDescent="0.35">
      <c r="B70" s="3" t="s">
        <v>73</v>
      </c>
      <c r="C70" s="4" t="s">
        <v>53</v>
      </c>
      <c r="D70" s="4" t="s">
        <v>174</v>
      </c>
      <c r="E70" s="122"/>
      <c r="F70" s="4" t="s">
        <v>90</v>
      </c>
      <c r="G70" s="4" t="s">
        <v>21</v>
      </c>
    </row>
    <row r="71" spans="2:7" ht="18" thickTop="1" x14ac:dyDescent="0.3">
      <c r="B71" s="11" t="s">
        <v>39</v>
      </c>
      <c r="C71" s="6" t="s">
        <v>78</v>
      </c>
      <c r="D71" s="6" t="s">
        <v>54</v>
      </c>
      <c r="E71" s="122"/>
      <c r="F71" s="6" t="s">
        <v>40</v>
      </c>
      <c r="G71" s="6" t="s">
        <v>40</v>
      </c>
    </row>
    <row r="72" spans="2:7" ht="18" thickBot="1" x14ac:dyDescent="0.35">
      <c r="B72" s="3" t="s">
        <v>74</v>
      </c>
      <c r="C72" s="4" t="s">
        <v>174</v>
      </c>
      <c r="D72" s="4" t="s">
        <v>22</v>
      </c>
      <c r="E72" s="123"/>
      <c r="F72" s="4" t="s">
        <v>49</v>
      </c>
      <c r="G72" s="4" t="s">
        <v>49</v>
      </c>
    </row>
    <row r="73" spans="2:7" ht="15.6" thickTop="1" thickBot="1" x14ac:dyDescent="0.35"/>
    <row r="74" spans="2:7" ht="22.2" thickTop="1" thickBot="1" x14ac:dyDescent="0.35">
      <c r="B74" s="114" t="str">
        <f>_xlfn.CONCAT("HORÁRIO TURMA ENEM ",dataSem," - TURMA 03")</f>
        <v>HORÁRIO TURMA ENEM 10/10 - 14/10 - TURMA 03</v>
      </c>
      <c r="C74" s="115"/>
      <c r="D74" s="115"/>
      <c r="E74" s="115"/>
      <c r="F74" s="115"/>
      <c r="G74" s="116"/>
    </row>
    <row r="75" spans="2:7" ht="18.600000000000001" thickTop="1" thickBot="1" x14ac:dyDescent="0.35">
      <c r="B75" s="1"/>
      <c r="C75" s="2" t="s">
        <v>0</v>
      </c>
      <c r="D75" s="2" t="s">
        <v>1</v>
      </c>
      <c r="E75" s="2" t="s">
        <v>2</v>
      </c>
      <c r="F75" s="2" t="s">
        <v>3</v>
      </c>
      <c r="G75" s="2" t="s">
        <v>4</v>
      </c>
    </row>
    <row r="76" spans="2:7" ht="18" customHeight="1" thickTop="1" x14ac:dyDescent="0.3">
      <c r="B76" s="11" t="s">
        <v>5</v>
      </c>
      <c r="C76" s="6" t="s">
        <v>78</v>
      </c>
      <c r="D76" s="6" t="s">
        <v>54</v>
      </c>
      <c r="E76" s="121" t="s">
        <v>177</v>
      </c>
      <c r="F76" s="6" t="s">
        <v>40</v>
      </c>
      <c r="G76" s="6" t="s">
        <v>40</v>
      </c>
    </row>
    <row r="77" spans="2:7" ht="18" thickBot="1" x14ac:dyDescent="0.35">
      <c r="B77" s="3" t="s">
        <v>68</v>
      </c>
      <c r="C77" s="4" t="s">
        <v>174</v>
      </c>
      <c r="D77" s="4" t="s">
        <v>22</v>
      </c>
      <c r="E77" s="122"/>
      <c r="F77" s="4" t="s">
        <v>49</v>
      </c>
      <c r="G77" s="4" t="s">
        <v>49</v>
      </c>
    </row>
    <row r="78" spans="2:7" ht="18" thickTop="1" x14ac:dyDescent="0.3">
      <c r="B78" s="11" t="s">
        <v>12</v>
      </c>
      <c r="C78" s="6" t="s">
        <v>31</v>
      </c>
      <c r="D78" s="6" t="s">
        <v>75</v>
      </c>
      <c r="E78" s="122"/>
      <c r="F78" s="6" t="s">
        <v>26</v>
      </c>
      <c r="G78" s="6" t="s">
        <v>34</v>
      </c>
    </row>
    <row r="79" spans="2:7" ht="18" thickBot="1" x14ac:dyDescent="0.35">
      <c r="B79" s="3" t="s">
        <v>69</v>
      </c>
      <c r="C79" s="4" t="s">
        <v>35</v>
      </c>
      <c r="D79" s="4" t="s">
        <v>35</v>
      </c>
      <c r="E79" s="122"/>
      <c r="F79" s="4" t="s">
        <v>97</v>
      </c>
      <c r="G79" s="4" t="s">
        <v>38</v>
      </c>
    </row>
    <row r="80" spans="2:7" ht="18" thickTop="1" x14ac:dyDescent="0.3">
      <c r="B80" s="11" t="s">
        <v>18</v>
      </c>
      <c r="C80" s="6" t="s">
        <v>6</v>
      </c>
      <c r="D80" s="6" t="s">
        <v>55</v>
      </c>
      <c r="E80" s="122"/>
      <c r="F80" s="6" t="s">
        <v>32</v>
      </c>
      <c r="G80" s="6" t="s">
        <v>57</v>
      </c>
    </row>
    <row r="81" spans="2:8" ht="18" thickBot="1" x14ac:dyDescent="0.35">
      <c r="B81" s="3" t="s">
        <v>70</v>
      </c>
      <c r="C81" s="4" t="s">
        <v>8</v>
      </c>
      <c r="D81" s="4" t="s">
        <v>79</v>
      </c>
      <c r="E81" s="122"/>
      <c r="F81" s="4" t="s">
        <v>48</v>
      </c>
      <c r="G81" s="4" t="s">
        <v>11</v>
      </c>
    </row>
    <row r="82" spans="2:8" ht="18.600000000000001" thickTop="1" thickBot="1" x14ac:dyDescent="0.35">
      <c r="B82" s="5" t="s">
        <v>71</v>
      </c>
      <c r="C82" s="117" t="s">
        <v>23</v>
      </c>
      <c r="D82" s="118"/>
      <c r="E82" s="122"/>
      <c r="F82" s="117" t="s">
        <v>23</v>
      </c>
      <c r="G82" s="118"/>
      <c r="H82" s="39"/>
    </row>
    <row r="83" spans="2:8" ht="18" thickTop="1" x14ac:dyDescent="0.3">
      <c r="B83" s="11" t="s">
        <v>24</v>
      </c>
      <c r="C83" s="6" t="s">
        <v>13</v>
      </c>
      <c r="D83" s="6" t="s">
        <v>14</v>
      </c>
      <c r="E83" s="122"/>
      <c r="F83" s="6" t="s">
        <v>6</v>
      </c>
      <c r="G83" s="6" t="s">
        <v>96</v>
      </c>
    </row>
    <row r="84" spans="2:8" ht="18" thickBot="1" x14ac:dyDescent="0.35">
      <c r="B84" s="3" t="s">
        <v>72</v>
      </c>
      <c r="C84" s="4" t="s">
        <v>17</v>
      </c>
      <c r="D84" s="4" t="s">
        <v>52</v>
      </c>
      <c r="E84" s="122"/>
      <c r="F84" s="4" t="s">
        <v>8</v>
      </c>
      <c r="G84" s="4" t="s">
        <v>91</v>
      </c>
    </row>
    <row r="85" spans="2:8" ht="18" thickTop="1" x14ac:dyDescent="0.3">
      <c r="B85" s="11" t="s">
        <v>30</v>
      </c>
      <c r="C85" s="6" t="s">
        <v>19</v>
      </c>
      <c r="D85" s="6" t="s">
        <v>7</v>
      </c>
      <c r="E85" s="122"/>
      <c r="F85" s="6" t="s">
        <v>33</v>
      </c>
      <c r="G85" s="6" t="s">
        <v>7</v>
      </c>
    </row>
    <row r="86" spans="2:8" ht="18" thickBot="1" x14ac:dyDescent="0.35">
      <c r="B86" s="3" t="s">
        <v>73</v>
      </c>
      <c r="C86" s="4" t="s">
        <v>10</v>
      </c>
      <c r="D86" s="4" t="s">
        <v>9</v>
      </c>
      <c r="E86" s="122"/>
      <c r="F86" s="4" t="s">
        <v>37</v>
      </c>
      <c r="G86" s="4" t="s">
        <v>9</v>
      </c>
    </row>
    <row r="87" spans="2:8" ht="18" thickTop="1" x14ac:dyDescent="0.3">
      <c r="B87" s="11" t="s">
        <v>39</v>
      </c>
      <c r="C87" s="6" t="s">
        <v>20</v>
      </c>
      <c r="D87" s="6" t="s">
        <v>78</v>
      </c>
      <c r="E87" s="122"/>
      <c r="F87" s="6" t="s">
        <v>15</v>
      </c>
      <c r="G87" s="6" t="s">
        <v>86</v>
      </c>
    </row>
    <row r="88" spans="2:8" ht="18" thickBot="1" x14ac:dyDescent="0.35">
      <c r="B88" s="3" t="s">
        <v>74</v>
      </c>
      <c r="C88" s="4" t="s">
        <v>53</v>
      </c>
      <c r="D88" s="4" t="s">
        <v>174</v>
      </c>
      <c r="E88" s="123"/>
      <c r="F88" s="4" t="s">
        <v>90</v>
      </c>
      <c r="G88" s="4" t="s">
        <v>21</v>
      </c>
    </row>
    <row r="89" spans="2:8" ht="15.6" thickTop="1" thickBot="1" x14ac:dyDescent="0.35"/>
    <row r="90" spans="2:8" ht="22.2" thickTop="1" thickBot="1" x14ac:dyDescent="0.35">
      <c r="B90" s="114" t="str">
        <f>_xlfn.CONCAT("HORÁRIO TURMA ENEM ",dataSem," - TURMA 04")</f>
        <v>HORÁRIO TURMA ENEM 10/10 - 14/10 - TURMA 04</v>
      </c>
      <c r="C90" s="115"/>
      <c r="D90" s="115"/>
      <c r="E90" s="115"/>
      <c r="F90" s="115"/>
      <c r="G90" s="116"/>
    </row>
    <row r="91" spans="2:8" ht="18.600000000000001" thickTop="1" thickBot="1" x14ac:dyDescent="0.35">
      <c r="B91" s="1"/>
      <c r="C91" s="2" t="s">
        <v>0</v>
      </c>
      <c r="D91" s="2" t="s">
        <v>1</v>
      </c>
      <c r="E91" s="2" t="s">
        <v>2</v>
      </c>
      <c r="F91" s="2" t="s">
        <v>3</v>
      </c>
      <c r="G91" s="2" t="s">
        <v>4</v>
      </c>
    </row>
    <row r="92" spans="2:8" ht="18" customHeight="1" thickTop="1" x14ac:dyDescent="0.3">
      <c r="B92" s="11" t="s">
        <v>5</v>
      </c>
      <c r="C92" s="6" t="s">
        <v>20</v>
      </c>
      <c r="D92" s="6" t="s">
        <v>78</v>
      </c>
      <c r="E92" s="121" t="s">
        <v>177</v>
      </c>
      <c r="F92" s="6" t="s">
        <v>15</v>
      </c>
      <c r="G92" s="6" t="s">
        <v>86</v>
      </c>
    </row>
    <row r="93" spans="2:8" ht="18" thickBot="1" x14ac:dyDescent="0.35">
      <c r="B93" s="3" t="s">
        <v>68</v>
      </c>
      <c r="C93" s="4" t="s">
        <v>53</v>
      </c>
      <c r="D93" s="4" t="s">
        <v>174</v>
      </c>
      <c r="E93" s="122"/>
      <c r="F93" s="4" t="s">
        <v>90</v>
      </c>
      <c r="G93" s="4" t="s">
        <v>21</v>
      </c>
    </row>
    <row r="94" spans="2:8" ht="18" thickTop="1" x14ac:dyDescent="0.3">
      <c r="B94" s="11" t="s">
        <v>12</v>
      </c>
      <c r="C94" s="6" t="s">
        <v>78</v>
      </c>
      <c r="D94" s="6" t="s">
        <v>54</v>
      </c>
      <c r="E94" s="122"/>
      <c r="F94" s="6" t="s">
        <v>40</v>
      </c>
      <c r="G94" s="6" t="s">
        <v>40</v>
      </c>
    </row>
    <row r="95" spans="2:8" ht="18" thickBot="1" x14ac:dyDescent="0.35">
      <c r="B95" s="3" t="s">
        <v>69</v>
      </c>
      <c r="C95" s="4" t="s">
        <v>174</v>
      </c>
      <c r="D95" s="4" t="s">
        <v>22</v>
      </c>
      <c r="E95" s="122"/>
      <c r="F95" s="4" t="s">
        <v>49</v>
      </c>
      <c r="G95" s="4" t="s">
        <v>49</v>
      </c>
    </row>
    <row r="96" spans="2:8" ht="18" thickTop="1" x14ac:dyDescent="0.3">
      <c r="B96" s="11" t="s">
        <v>18</v>
      </c>
      <c r="C96" s="6" t="s">
        <v>31</v>
      </c>
      <c r="D96" s="6" t="s">
        <v>75</v>
      </c>
      <c r="E96" s="122"/>
      <c r="F96" s="6" t="s">
        <v>26</v>
      </c>
      <c r="G96" s="6" t="s">
        <v>34</v>
      </c>
    </row>
    <row r="97" spans="2:8" ht="18" thickBot="1" x14ac:dyDescent="0.35">
      <c r="B97" s="3" t="s">
        <v>70</v>
      </c>
      <c r="C97" s="4" t="s">
        <v>35</v>
      </c>
      <c r="D97" s="4" t="s">
        <v>35</v>
      </c>
      <c r="E97" s="122"/>
      <c r="F97" s="4" t="s">
        <v>97</v>
      </c>
      <c r="G97" s="4" t="s">
        <v>38</v>
      </c>
    </row>
    <row r="98" spans="2:8" ht="18.600000000000001" thickTop="1" thickBot="1" x14ac:dyDescent="0.35">
      <c r="B98" s="5" t="s">
        <v>71</v>
      </c>
      <c r="C98" s="117" t="s">
        <v>23</v>
      </c>
      <c r="D98" s="118"/>
      <c r="E98" s="122"/>
      <c r="F98" s="117" t="s">
        <v>23</v>
      </c>
      <c r="G98" s="118"/>
      <c r="H98" s="39"/>
    </row>
    <row r="99" spans="2:8" ht="18" thickTop="1" x14ac:dyDescent="0.3">
      <c r="B99" s="11" t="s">
        <v>24</v>
      </c>
      <c r="C99" s="6" t="s">
        <v>6</v>
      </c>
      <c r="D99" s="6" t="s">
        <v>55</v>
      </c>
      <c r="E99" s="122"/>
      <c r="F99" s="6" t="s">
        <v>32</v>
      </c>
      <c r="G99" s="6" t="s">
        <v>57</v>
      </c>
    </row>
    <row r="100" spans="2:8" ht="18" thickBot="1" x14ac:dyDescent="0.35">
      <c r="B100" s="3" t="s">
        <v>72</v>
      </c>
      <c r="C100" s="4" t="s">
        <v>8</v>
      </c>
      <c r="D100" s="4" t="s">
        <v>79</v>
      </c>
      <c r="E100" s="122"/>
      <c r="F100" s="4" t="s">
        <v>48</v>
      </c>
      <c r="G100" s="4" t="s">
        <v>11</v>
      </c>
    </row>
    <row r="101" spans="2:8" ht="18" thickTop="1" x14ac:dyDescent="0.3">
      <c r="B101" s="11" t="s">
        <v>30</v>
      </c>
      <c r="C101" s="6" t="s">
        <v>13</v>
      </c>
      <c r="D101" s="6" t="s">
        <v>14</v>
      </c>
      <c r="E101" s="122"/>
      <c r="F101" s="6" t="s">
        <v>6</v>
      </c>
      <c r="G101" s="6" t="s">
        <v>96</v>
      </c>
    </row>
    <row r="102" spans="2:8" ht="18" thickBot="1" x14ac:dyDescent="0.35">
      <c r="B102" s="3" t="s">
        <v>73</v>
      </c>
      <c r="C102" s="4" t="s">
        <v>17</v>
      </c>
      <c r="D102" s="4" t="s">
        <v>52</v>
      </c>
      <c r="E102" s="122"/>
      <c r="F102" s="4" t="s">
        <v>8</v>
      </c>
      <c r="G102" s="4" t="s">
        <v>91</v>
      </c>
    </row>
    <row r="103" spans="2:8" ht="18" thickTop="1" x14ac:dyDescent="0.3">
      <c r="B103" s="11" t="s">
        <v>39</v>
      </c>
      <c r="C103" s="6" t="s">
        <v>19</v>
      </c>
      <c r="D103" s="6" t="s">
        <v>7</v>
      </c>
      <c r="E103" s="122"/>
      <c r="F103" s="6" t="s">
        <v>33</v>
      </c>
      <c r="G103" s="6" t="s">
        <v>7</v>
      </c>
    </row>
    <row r="104" spans="2:8" ht="18" thickBot="1" x14ac:dyDescent="0.35">
      <c r="B104" s="3" t="s">
        <v>74</v>
      </c>
      <c r="C104" s="4" t="s">
        <v>10</v>
      </c>
      <c r="D104" s="4" t="s">
        <v>9</v>
      </c>
      <c r="E104" s="123"/>
      <c r="F104" s="4" t="s">
        <v>37</v>
      </c>
      <c r="G104" s="4" t="s">
        <v>9</v>
      </c>
    </row>
    <row r="105" spans="2:8" ht="15.6" thickTop="1" thickBot="1" x14ac:dyDescent="0.35"/>
    <row r="106" spans="2:8" ht="22.2" thickTop="1" thickBot="1" x14ac:dyDescent="0.35">
      <c r="B106" s="114" t="str">
        <f>_xlfn.CONCAT("HORÁRIO TURMA ENEM ",dataSem," - TURMA 05")</f>
        <v>HORÁRIO TURMA ENEM 10/10 - 14/10 - TURMA 05</v>
      </c>
      <c r="C106" s="115"/>
      <c r="D106" s="115"/>
      <c r="E106" s="115"/>
      <c r="F106" s="115"/>
      <c r="G106" s="116"/>
    </row>
    <row r="107" spans="2:8" ht="18.600000000000001" thickTop="1" thickBot="1" x14ac:dyDescent="0.35">
      <c r="B107" s="1"/>
      <c r="C107" s="2" t="s">
        <v>0</v>
      </c>
      <c r="D107" s="2" t="s">
        <v>1</v>
      </c>
      <c r="E107" s="2" t="s">
        <v>2</v>
      </c>
      <c r="F107" s="2" t="s">
        <v>3</v>
      </c>
      <c r="G107" s="2" t="s">
        <v>4</v>
      </c>
    </row>
    <row r="108" spans="2:8" ht="18" customHeight="1" thickTop="1" x14ac:dyDescent="0.3">
      <c r="B108" s="11" t="s">
        <v>5</v>
      </c>
      <c r="C108" s="6" t="s">
        <v>19</v>
      </c>
      <c r="D108" s="6" t="s">
        <v>7</v>
      </c>
      <c r="E108" s="121" t="s">
        <v>177</v>
      </c>
      <c r="F108" s="6" t="s">
        <v>33</v>
      </c>
      <c r="G108" s="6" t="s">
        <v>7</v>
      </c>
    </row>
    <row r="109" spans="2:8" ht="18" thickBot="1" x14ac:dyDescent="0.35">
      <c r="B109" s="3" t="s">
        <v>68</v>
      </c>
      <c r="C109" s="4" t="s">
        <v>10</v>
      </c>
      <c r="D109" s="4" t="s">
        <v>9</v>
      </c>
      <c r="E109" s="122"/>
      <c r="F109" s="4" t="s">
        <v>37</v>
      </c>
      <c r="G109" s="4" t="s">
        <v>9</v>
      </c>
    </row>
    <row r="110" spans="2:8" ht="18" thickTop="1" x14ac:dyDescent="0.3">
      <c r="B110" s="11" t="s">
        <v>12</v>
      </c>
      <c r="C110" s="6" t="s">
        <v>20</v>
      </c>
      <c r="D110" s="6" t="s">
        <v>78</v>
      </c>
      <c r="E110" s="122"/>
      <c r="F110" s="6" t="s">
        <v>15</v>
      </c>
      <c r="G110" s="6" t="s">
        <v>86</v>
      </c>
    </row>
    <row r="111" spans="2:8" ht="18" thickBot="1" x14ac:dyDescent="0.35">
      <c r="B111" s="3" t="s">
        <v>69</v>
      </c>
      <c r="C111" s="4" t="s">
        <v>53</v>
      </c>
      <c r="D111" s="4" t="s">
        <v>174</v>
      </c>
      <c r="E111" s="122"/>
      <c r="F111" s="4" t="s">
        <v>90</v>
      </c>
      <c r="G111" s="4" t="s">
        <v>21</v>
      </c>
    </row>
    <row r="112" spans="2:8" ht="18" thickTop="1" x14ac:dyDescent="0.3">
      <c r="B112" s="11" t="s">
        <v>18</v>
      </c>
      <c r="C112" s="6" t="s">
        <v>78</v>
      </c>
      <c r="D112" s="6" t="s">
        <v>54</v>
      </c>
      <c r="E112" s="122"/>
      <c r="F112" s="6" t="s">
        <v>40</v>
      </c>
      <c r="G112" s="6" t="s">
        <v>40</v>
      </c>
    </row>
    <row r="113" spans="2:7" ht="18" thickBot="1" x14ac:dyDescent="0.35">
      <c r="B113" s="3" t="s">
        <v>70</v>
      </c>
      <c r="C113" s="4" t="s">
        <v>174</v>
      </c>
      <c r="D113" s="4" t="s">
        <v>22</v>
      </c>
      <c r="E113" s="122"/>
      <c r="F113" s="4" t="s">
        <v>49</v>
      </c>
      <c r="G113" s="4" t="s">
        <v>49</v>
      </c>
    </row>
    <row r="114" spans="2:7" ht="18.600000000000001" thickTop="1" thickBot="1" x14ac:dyDescent="0.35">
      <c r="B114" s="5" t="s">
        <v>71</v>
      </c>
      <c r="C114" s="117" t="s">
        <v>23</v>
      </c>
      <c r="D114" s="118"/>
      <c r="E114" s="122"/>
      <c r="F114" s="117" t="s">
        <v>23</v>
      </c>
      <c r="G114" s="120"/>
    </row>
    <row r="115" spans="2:7" ht="18" thickTop="1" x14ac:dyDescent="0.3">
      <c r="B115" s="11" t="s">
        <v>24</v>
      </c>
      <c r="C115" s="6" t="s">
        <v>31</v>
      </c>
      <c r="D115" s="6" t="s">
        <v>75</v>
      </c>
      <c r="E115" s="122"/>
      <c r="F115" s="6" t="s">
        <v>26</v>
      </c>
      <c r="G115" s="6" t="s">
        <v>34</v>
      </c>
    </row>
    <row r="116" spans="2:7" ht="18" thickBot="1" x14ac:dyDescent="0.35">
      <c r="B116" s="3" t="s">
        <v>72</v>
      </c>
      <c r="C116" s="4" t="s">
        <v>35</v>
      </c>
      <c r="D116" s="4" t="s">
        <v>35</v>
      </c>
      <c r="E116" s="122"/>
      <c r="F116" s="4" t="s">
        <v>97</v>
      </c>
      <c r="G116" s="4" t="s">
        <v>38</v>
      </c>
    </row>
    <row r="117" spans="2:7" ht="18" thickTop="1" x14ac:dyDescent="0.3">
      <c r="B117" s="11" t="s">
        <v>30</v>
      </c>
      <c r="C117" s="6" t="s">
        <v>6</v>
      </c>
      <c r="D117" s="6" t="s">
        <v>55</v>
      </c>
      <c r="E117" s="122"/>
      <c r="F117" s="6" t="s">
        <v>32</v>
      </c>
      <c r="G117" s="6" t="s">
        <v>57</v>
      </c>
    </row>
    <row r="118" spans="2:7" ht="18" thickBot="1" x14ac:dyDescent="0.35">
      <c r="B118" s="3" t="s">
        <v>73</v>
      </c>
      <c r="C118" s="4" t="s">
        <v>8</v>
      </c>
      <c r="D118" s="4" t="s">
        <v>79</v>
      </c>
      <c r="E118" s="122"/>
      <c r="F118" s="4" t="s">
        <v>48</v>
      </c>
      <c r="G118" s="4" t="s">
        <v>11</v>
      </c>
    </row>
    <row r="119" spans="2:7" ht="18" thickTop="1" x14ac:dyDescent="0.3">
      <c r="B119" s="11" t="s">
        <v>39</v>
      </c>
      <c r="C119" s="6" t="s">
        <v>13</v>
      </c>
      <c r="D119" s="6" t="s">
        <v>14</v>
      </c>
      <c r="E119" s="122"/>
      <c r="F119" s="6" t="s">
        <v>6</v>
      </c>
      <c r="G119" s="6" t="s">
        <v>96</v>
      </c>
    </row>
    <row r="120" spans="2:7" ht="18" thickBot="1" x14ac:dyDescent="0.35">
      <c r="B120" s="3" t="s">
        <v>74</v>
      </c>
      <c r="C120" s="4" t="s">
        <v>17</v>
      </c>
      <c r="D120" s="4" t="s">
        <v>52</v>
      </c>
      <c r="E120" s="123"/>
      <c r="F120" s="4" t="s">
        <v>8</v>
      </c>
      <c r="G120" s="4" t="s">
        <v>91</v>
      </c>
    </row>
    <row r="121" spans="2:7" ht="15.6" thickTop="1" thickBot="1" x14ac:dyDescent="0.35"/>
    <row r="122" spans="2:7" ht="22.2" thickTop="1" thickBot="1" x14ac:dyDescent="0.35">
      <c r="B122" s="114" t="str">
        <f>_xlfn.CONCAT("HORÁRIO TURMA ENEM ",dataSem," - TURMA 06")</f>
        <v>HORÁRIO TURMA ENEM 10/10 - 14/10 - TURMA 06</v>
      </c>
      <c r="C122" s="115"/>
      <c r="D122" s="115"/>
      <c r="E122" s="115"/>
      <c r="F122" s="115"/>
      <c r="G122" s="116"/>
    </row>
    <row r="123" spans="2:7" ht="18.600000000000001" thickTop="1" thickBot="1" x14ac:dyDescent="0.35">
      <c r="B123" s="1"/>
      <c r="C123" s="2" t="s">
        <v>0</v>
      </c>
      <c r="D123" s="2" t="s">
        <v>1</v>
      </c>
      <c r="E123" s="2" t="s">
        <v>2</v>
      </c>
      <c r="F123" s="2" t="s">
        <v>3</v>
      </c>
      <c r="G123" s="2" t="s">
        <v>4</v>
      </c>
    </row>
    <row r="124" spans="2:7" ht="18" customHeight="1" thickTop="1" x14ac:dyDescent="0.3">
      <c r="B124" s="11" t="s">
        <v>5</v>
      </c>
      <c r="C124" s="6" t="s">
        <v>13</v>
      </c>
      <c r="D124" s="6" t="s">
        <v>14</v>
      </c>
      <c r="E124" s="121" t="s">
        <v>177</v>
      </c>
      <c r="F124" s="6" t="s">
        <v>6</v>
      </c>
      <c r="G124" s="6" t="s">
        <v>96</v>
      </c>
    </row>
    <row r="125" spans="2:7" ht="18" thickBot="1" x14ac:dyDescent="0.35">
      <c r="B125" s="3" t="s">
        <v>68</v>
      </c>
      <c r="C125" s="4" t="s">
        <v>17</v>
      </c>
      <c r="D125" s="4" t="s">
        <v>52</v>
      </c>
      <c r="E125" s="122"/>
      <c r="F125" s="4" t="s">
        <v>8</v>
      </c>
      <c r="G125" s="4" t="s">
        <v>91</v>
      </c>
    </row>
    <row r="126" spans="2:7" ht="18" thickTop="1" x14ac:dyDescent="0.3">
      <c r="B126" s="11" t="s">
        <v>12</v>
      </c>
      <c r="C126" s="6" t="s">
        <v>19</v>
      </c>
      <c r="D126" s="6" t="s">
        <v>7</v>
      </c>
      <c r="E126" s="122"/>
      <c r="F126" s="6" t="s">
        <v>33</v>
      </c>
      <c r="G126" s="6" t="s">
        <v>7</v>
      </c>
    </row>
    <row r="127" spans="2:7" ht="18" thickBot="1" x14ac:dyDescent="0.35">
      <c r="B127" s="3" t="s">
        <v>69</v>
      </c>
      <c r="C127" s="4" t="s">
        <v>10</v>
      </c>
      <c r="D127" s="4" t="s">
        <v>9</v>
      </c>
      <c r="E127" s="122"/>
      <c r="F127" s="4" t="s">
        <v>37</v>
      </c>
      <c r="G127" s="4" t="s">
        <v>9</v>
      </c>
    </row>
    <row r="128" spans="2:7" ht="18" thickTop="1" x14ac:dyDescent="0.3">
      <c r="B128" s="11" t="s">
        <v>18</v>
      </c>
      <c r="C128" s="6" t="s">
        <v>20</v>
      </c>
      <c r="D128" s="6" t="s">
        <v>78</v>
      </c>
      <c r="E128" s="122"/>
      <c r="F128" s="6" t="s">
        <v>15</v>
      </c>
      <c r="G128" s="6" t="s">
        <v>86</v>
      </c>
    </row>
    <row r="129" spans="2:8" ht="18" thickBot="1" x14ac:dyDescent="0.35">
      <c r="B129" s="3" t="s">
        <v>70</v>
      </c>
      <c r="C129" s="4" t="s">
        <v>53</v>
      </c>
      <c r="D129" s="4" t="s">
        <v>174</v>
      </c>
      <c r="E129" s="122"/>
      <c r="F129" s="4" t="s">
        <v>90</v>
      </c>
      <c r="G129" s="4" t="s">
        <v>21</v>
      </c>
    </row>
    <row r="130" spans="2:8" ht="18.600000000000001" thickTop="1" thickBot="1" x14ac:dyDescent="0.35">
      <c r="B130" s="5" t="s">
        <v>71</v>
      </c>
      <c r="C130" s="117" t="s">
        <v>23</v>
      </c>
      <c r="D130" s="118"/>
      <c r="E130" s="122"/>
      <c r="F130" s="117" t="s">
        <v>23</v>
      </c>
      <c r="G130" s="118"/>
      <c r="H130" s="39"/>
    </row>
    <row r="131" spans="2:8" ht="18" thickTop="1" x14ac:dyDescent="0.3">
      <c r="B131" s="11" t="s">
        <v>24</v>
      </c>
      <c r="C131" s="6" t="s">
        <v>78</v>
      </c>
      <c r="D131" s="6" t="s">
        <v>54</v>
      </c>
      <c r="E131" s="122"/>
      <c r="F131" s="6" t="s">
        <v>40</v>
      </c>
      <c r="G131" s="6" t="s">
        <v>40</v>
      </c>
    </row>
    <row r="132" spans="2:8" ht="18" thickBot="1" x14ac:dyDescent="0.35">
      <c r="B132" s="3" t="s">
        <v>72</v>
      </c>
      <c r="C132" s="4" t="s">
        <v>174</v>
      </c>
      <c r="D132" s="4" t="s">
        <v>22</v>
      </c>
      <c r="E132" s="122"/>
      <c r="F132" s="4" t="s">
        <v>49</v>
      </c>
      <c r="G132" s="4" t="s">
        <v>49</v>
      </c>
    </row>
    <row r="133" spans="2:8" ht="18" thickTop="1" x14ac:dyDescent="0.3">
      <c r="B133" s="11" t="s">
        <v>30</v>
      </c>
      <c r="C133" s="6" t="s">
        <v>31</v>
      </c>
      <c r="D133" s="6" t="s">
        <v>75</v>
      </c>
      <c r="E133" s="122"/>
      <c r="F133" s="6" t="s">
        <v>26</v>
      </c>
      <c r="G133" s="6" t="s">
        <v>34</v>
      </c>
    </row>
    <row r="134" spans="2:8" ht="18" thickBot="1" x14ac:dyDescent="0.35">
      <c r="B134" s="3" t="s">
        <v>73</v>
      </c>
      <c r="C134" s="4" t="s">
        <v>35</v>
      </c>
      <c r="D134" s="4" t="s">
        <v>35</v>
      </c>
      <c r="E134" s="122"/>
      <c r="F134" s="4" t="s">
        <v>97</v>
      </c>
      <c r="G134" s="4" t="s">
        <v>38</v>
      </c>
    </row>
    <row r="135" spans="2:8" ht="18" thickTop="1" x14ac:dyDescent="0.3">
      <c r="B135" s="11" t="s">
        <v>39</v>
      </c>
      <c r="C135" s="6" t="s">
        <v>6</v>
      </c>
      <c r="D135" s="6" t="s">
        <v>55</v>
      </c>
      <c r="E135" s="122"/>
      <c r="F135" s="6" t="s">
        <v>32</v>
      </c>
      <c r="G135" s="6" t="s">
        <v>57</v>
      </c>
    </row>
    <row r="136" spans="2:8" ht="18" thickBot="1" x14ac:dyDescent="0.35">
      <c r="B136" s="3" t="s">
        <v>74</v>
      </c>
      <c r="C136" s="4" t="s">
        <v>8</v>
      </c>
      <c r="D136" s="4" t="s">
        <v>79</v>
      </c>
      <c r="E136" s="123"/>
      <c r="F136" s="4" t="s">
        <v>48</v>
      </c>
      <c r="G136" s="4" t="s">
        <v>11</v>
      </c>
    </row>
    <row r="137" spans="2:8" ht="15" thickTop="1" x14ac:dyDescent="0.3"/>
  </sheetData>
  <mergeCells count="54">
    <mergeCell ref="E37:E38"/>
    <mergeCell ref="D37:D38"/>
    <mergeCell ref="G32:G33"/>
    <mergeCell ref="F32:F33"/>
    <mergeCell ref="G35:G36"/>
    <mergeCell ref="F35:F36"/>
    <mergeCell ref="G37:G38"/>
    <mergeCell ref="D32:D33"/>
    <mergeCell ref="B2:G2"/>
    <mergeCell ref="C10:G10"/>
    <mergeCell ref="B17:G17"/>
    <mergeCell ref="B26:G26"/>
    <mergeCell ref="C28:C29"/>
    <mergeCell ref="G28:G29"/>
    <mergeCell ref="F28:F29"/>
    <mergeCell ref="E28:E29"/>
    <mergeCell ref="D28:D29"/>
    <mergeCell ref="F98:G98"/>
    <mergeCell ref="B106:G106"/>
    <mergeCell ref="B90:G90"/>
    <mergeCell ref="C30:C31"/>
    <mergeCell ref="D30:D31"/>
    <mergeCell ref="G30:G31"/>
    <mergeCell ref="F30:F31"/>
    <mergeCell ref="E30:E31"/>
    <mergeCell ref="E35:E36"/>
    <mergeCell ref="F37:F38"/>
    <mergeCell ref="C37:C38"/>
    <mergeCell ref="C35:C36"/>
    <mergeCell ref="C32:C33"/>
    <mergeCell ref="C34:G34"/>
    <mergeCell ref="E32:E33"/>
    <mergeCell ref="D35:D36"/>
    <mergeCell ref="B42:G42"/>
    <mergeCell ref="B58:G58"/>
    <mergeCell ref="B74:G74"/>
    <mergeCell ref="F66:G66"/>
    <mergeCell ref="F82:G82"/>
    <mergeCell ref="F114:G114"/>
    <mergeCell ref="F130:G130"/>
    <mergeCell ref="C50:D50"/>
    <mergeCell ref="F50:G50"/>
    <mergeCell ref="E44:E56"/>
    <mergeCell ref="C66:D66"/>
    <mergeCell ref="C82:D82"/>
    <mergeCell ref="C98:D98"/>
    <mergeCell ref="C114:D114"/>
    <mergeCell ref="C130:D130"/>
    <mergeCell ref="E60:E72"/>
    <mergeCell ref="E76:E88"/>
    <mergeCell ref="E92:E104"/>
    <mergeCell ref="E108:E120"/>
    <mergeCell ref="E124:E136"/>
    <mergeCell ref="B122:G12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E9025-7828-4CB3-BF62-9BCDBB0FEA63}">
  <sheetPr codeName="Planilha18">
    <pageSetUpPr fitToPage="1"/>
  </sheetPr>
  <dimension ref="B1:O127"/>
  <sheetViews>
    <sheetView topLeftCell="A20" zoomScale="85" zoomScaleNormal="85" workbookViewId="0">
      <selection activeCell="G31" sqref="G31"/>
    </sheetView>
  </sheetViews>
  <sheetFormatPr defaultRowHeight="14.4" x14ac:dyDescent="0.3"/>
  <cols>
    <col min="2" max="2" width="16.33203125" customWidth="1"/>
    <col min="3" max="3" width="27.44140625" customWidth="1"/>
    <col min="4" max="4" width="27.6640625" customWidth="1"/>
    <col min="5" max="5" width="29.5546875" customWidth="1"/>
    <col min="6" max="7" width="30.44140625" customWidth="1"/>
    <col min="8" max="8" width="30.6640625" customWidth="1"/>
  </cols>
  <sheetData>
    <row r="1" spans="2:11" ht="15" thickBot="1" x14ac:dyDescent="0.35"/>
    <row r="2" spans="2:11" ht="22.2" thickTop="1" thickBot="1" x14ac:dyDescent="0.35">
      <c r="B2" s="114" t="s">
        <v>58</v>
      </c>
      <c r="C2" s="115"/>
      <c r="D2" s="115"/>
      <c r="E2" s="115"/>
      <c r="F2" s="115"/>
      <c r="G2" s="115"/>
      <c r="H2" s="116"/>
    </row>
    <row r="3" spans="2:11" ht="24" customHeight="1" thickTop="1" thickBot="1" x14ac:dyDescent="0.35">
      <c r="B3" s="1"/>
      <c r="C3" s="2" t="s">
        <v>0</v>
      </c>
      <c r="D3" s="2" t="s">
        <v>1</v>
      </c>
      <c r="E3" s="2" t="s">
        <v>2</v>
      </c>
      <c r="F3" s="2" t="s">
        <v>3</v>
      </c>
      <c r="G3" s="2"/>
      <c r="H3" s="2" t="s">
        <v>4</v>
      </c>
    </row>
    <row r="4" spans="2:11" ht="19.5" customHeight="1" thickTop="1" thickBot="1" x14ac:dyDescent="0.35">
      <c r="B4" s="11" t="s">
        <v>5</v>
      </c>
      <c r="C4" s="6" t="s">
        <v>6</v>
      </c>
      <c r="D4" s="6" t="s">
        <v>7</v>
      </c>
      <c r="E4" s="6" t="s">
        <v>19</v>
      </c>
      <c r="F4" s="6" t="s">
        <v>6</v>
      </c>
      <c r="G4" s="6"/>
      <c r="H4" s="6" t="s">
        <v>7</v>
      </c>
    </row>
    <row r="5" spans="2:11" ht="18" thickBot="1" x14ac:dyDescent="0.35">
      <c r="B5" s="3" t="s">
        <v>68</v>
      </c>
      <c r="C5" s="10" t="s">
        <v>8</v>
      </c>
      <c r="D5" s="4" t="s">
        <v>9</v>
      </c>
      <c r="E5" s="4" t="s">
        <v>10</v>
      </c>
      <c r="F5" s="10" t="s">
        <v>8</v>
      </c>
      <c r="G5" s="4"/>
      <c r="H5" s="4" t="s">
        <v>9</v>
      </c>
    </row>
    <row r="6" spans="2:11" ht="18" thickTop="1" x14ac:dyDescent="0.3">
      <c r="B6" s="11" t="s">
        <v>12</v>
      </c>
      <c r="C6" s="6" t="s">
        <v>13</v>
      </c>
      <c r="D6" s="6" t="s">
        <v>78</v>
      </c>
      <c r="E6" s="6" t="s">
        <v>25</v>
      </c>
      <c r="F6" s="6" t="s">
        <v>33</v>
      </c>
      <c r="G6" s="6"/>
      <c r="H6" s="13" t="s">
        <v>75</v>
      </c>
      <c r="K6" s="6" t="s">
        <v>14</v>
      </c>
    </row>
    <row r="7" spans="2:11" ht="18" thickBot="1" x14ac:dyDescent="0.35">
      <c r="B7" s="3" t="s">
        <v>69</v>
      </c>
      <c r="C7" s="4" t="s">
        <v>17</v>
      </c>
      <c r="D7" s="4" t="s">
        <v>27</v>
      </c>
      <c r="E7" s="4" t="s">
        <v>28</v>
      </c>
      <c r="F7" s="4" t="s">
        <v>37</v>
      </c>
      <c r="G7" s="4"/>
      <c r="H7" s="4" t="s">
        <v>11</v>
      </c>
      <c r="K7" s="4" t="s">
        <v>52</v>
      </c>
    </row>
    <row r="8" spans="2:11" ht="18" thickTop="1" x14ac:dyDescent="0.3">
      <c r="B8" s="11" t="s">
        <v>18</v>
      </c>
      <c r="C8" s="6" t="s">
        <v>19</v>
      </c>
      <c r="D8" s="6" t="s">
        <v>54</v>
      </c>
      <c r="E8" s="6" t="s">
        <v>54</v>
      </c>
      <c r="F8" s="6" t="s">
        <v>54</v>
      </c>
      <c r="G8" s="6"/>
      <c r="H8" s="6" t="s">
        <v>54</v>
      </c>
    </row>
    <row r="9" spans="2:11" ht="18" thickBot="1" x14ac:dyDescent="0.35">
      <c r="B9" s="3" t="s">
        <v>70</v>
      </c>
      <c r="C9" s="4" t="s">
        <v>10</v>
      </c>
      <c r="D9" s="4" t="s">
        <v>53</v>
      </c>
      <c r="E9" s="4" t="s">
        <v>53</v>
      </c>
      <c r="F9" s="4" t="s">
        <v>53</v>
      </c>
      <c r="G9" s="4"/>
      <c r="H9" s="4" t="s">
        <v>53</v>
      </c>
      <c r="K9" s="6" t="s">
        <v>43</v>
      </c>
    </row>
    <row r="10" spans="2:11" ht="18.600000000000001" thickTop="1" thickBot="1" x14ac:dyDescent="0.35">
      <c r="B10" s="5" t="s">
        <v>71</v>
      </c>
      <c r="C10" s="117" t="s">
        <v>23</v>
      </c>
      <c r="D10" s="118"/>
      <c r="E10" s="118"/>
      <c r="F10" s="118"/>
      <c r="G10" s="118"/>
      <c r="H10" s="119"/>
      <c r="K10" s="4" t="s">
        <v>48</v>
      </c>
    </row>
    <row r="11" spans="2:11" ht="18" thickTop="1" x14ac:dyDescent="0.3">
      <c r="B11" s="11" t="s">
        <v>24</v>
      </c>
      <c r="C11" s="6" t="s">
        <v>15</v>
      </c>
      <c r="D11" s="6" t="s">
        <v>14</v>
      </c>
      <c r="E11" s="6" t="s">
        <v>32</v>
      </c>
      <c r="F11" s="6" t="s">
        <v>43</v>
      </c>
      <c r="G11" s="6"/>
      <c r="H11" s="6" t="s">
        <v>34</v>
      </c>
    </row>
    <row r="12" spans="2:11" ht="18" customHeight="1" thickBot="1" x14ac:dyDescent="0.35">
      <c r="B12" s="3" t="s">
        <v>72</v>
      </c>
      <c r="C12" s="4" t="s">
        <v>76</v>
      </c>
      <c r="D12" s="4" t="s">
        <v>77</v>
      </c>
      <c r="E12" s="4" t="s">
        <v>36</v>
      </c>
      <c r="F12" s="4" t="s">
        <v>48</v>
      </c>
      <c r="G12" s="4"/>
      <c r="H12" s="4" t="s">
        <v>38</v>
      </c>
    </row>
    <row r="13" spans="2:11" ht="18.600000000000001" thickTop="1" thickBot="1" x14ac:dyDescent="0.35">
      <c r="B13" s="11" t="s">
        <v>30</v>
      </c>
      <c r="C13" s="6" t="s">
        <v>31</v>
      </c>
      <c r="D13" s="6" t="s">
        <v>57</v>
      </c>
      <c r="E13" s="6" t="s">
        <v>42</v>
      </c>
      <c r="F13" s="6" t="s">
        <v>20</v>
      </c>
      <c r="G13" s="6"/>
      <c r="H13" s="6" t="s">
        <v>44</v>
      </c>
      <c r="K13" s="6" t="s">
        <v>34</v>
      </c>
    </row>
    <row r="14" spans="2:11" ht="18" thickBot="1" x14ac:dyDescent="0.35">
      <c r="B14" s="3" t="s">
        <v>73</v>
      </c>
      <c r="C14" s="4" t="s">
        <v>35</v>
      </c>
      <c r="D14" s="10" t="s">
        <v>35</v>
      </c>
      <c r="E14" s="4" t="s">
        <v>47</v>
      </c>
      <c r="F14" s="4" t="s">
        <v>22</v>
      </c>
      <c r="G14" s="4"/>
      <c r="H14" s="10" t="s">
        <v>49</v>
      </c>
      <c r="K14" s="4" t="s">
        <v>38</v>
      </c>
    </row>
    <row r="15" spans="2:11" ht="18" thickTop="1" x14ac:dyDescent="0.3">
      <c r="B15" s="11" t="s">
        <v>39</v>
      </c>
      <c r="C15" s="6" t="s">
        <v>78</v>
      </c>
      <c r="D15" s="6" t="s">
        <v>41</v>
      </c>
      <c r="E15" s="6" t="s">
        <v>40</v>
      </c>
      <c r="F15" s="6" t="s">
        <v>26</v>
      </c>
      <c r="G15" s="6"/>
      <c r="H15" s="6" t="s">
        <v>55</v>
      </c>
    </row>
    <row r="16" spans="2:11" ht="18" thickBot="1" x14ac:dyDescent="0.35">
      <c r="B16" s="3" t="s">
        <v>74</v>
      </c>
      <c r="C16" s="4" t="s">
        <v>27</v>
      </c>
      <c r="D16" s="4" t="s">
        <v>46</v>
      </c>
      <c r="E16" s="4" t="s">
        <v>45</v>
      </c>
      <c r="F16" s="4" t="s">
        <v>29</v>
      </c>
      <c r="G16" s="4"/>
      <c r="H16" s="4" t="s">
        <v>79</v>
      </c>
    </row>
    <row r="17" spans="2:15" ht="18.600000000000001" thickTop="1" thickBot="1" x14ac:dyDescent="0.35">
      <c r="B17" s="117" t="s">
        <v>50</v>
      </c>
      <c r="C17" s="118"/>
      <c r="D17" s="118"/>
      <c r="E17" s="118"/>
      <c r="F17" s="118"/>
      <c r="G17" s="118"/>
      <c r="H17" s="119"/>
    </row>
    <row r="18" spans="2:15" ht="18" thickTop="1" x14ac:dyDescent="0.35">
      <c r="B18" s="21"/>
      <c r="C18" s="7" t="s">
        <v>59</v>
      </c>
      <c r="D18" s="7" t="s">
        <v>59</v>
      </c>
      <c r="E18" s="7" t="s">
        <v>51</v>
      </c>
      <c r="F18" s="7" t="s">
        <v>83</v>
      </c>
      <c r="G18" s="18"/>
      <c r="H18" s="18"/>
    </row>
    <row r="19" spans="2:15" ht="20.25" customHeight="1" thickBot="1" x14ac:dyDescent="0.4">
      <c r="B19" s="22"/>
      <c r="C19" s="8" t="s">
        <v>85</v>
      </c>
      <c r="D19" s="8" t="s">
        <v>82</v>
      </c>
      <c r="E19" s="8" t="s">
        <v>60</v>
      </c>
      <c r="F19" s="8" t="s">
        <v>84</v>
      </c>
      <c r="G19" s="20"/>
      <c r="H19" s="20"/>
    </row>
    <row r="20" spans="2:15" ht="18.600000000000001" thickTop="1" thickBot="1" x14ac:dyDescent="0.4">
      <c r="B20" s="22"/>
      <c r="C20" s="9" t="s">
        <v>46</v>
      </c>
      <c r="D20" s="9" t="s">
        <v>77</v>
      </c>
      <c r="E20" s="4" t="s">
        <v>28</v>
      </c>
      <c r="F20" s="4" t="s">
        <v>79</v>
      </c>
      <c r="G20" s="16"/>
      <c r="H20" s="19"/>
    </row>
    <row r="21" spans="2:15" ht="18" thickTop="1" x14ac:dyDescent="0.35">
      <c r="B21" s="22"/>
      <c r="C21" s="22"/>
      <c r="D21" s="17"/>
      <c r="E21" s="17"/>
      <c r="F21" s="17"/>
      <c r="G21" s="14"/>
      <c r="H21" s="14"/>
    </row>
    <row r="22" spans="2:15" ht="17.399999999999999" x14ac:dyDescent="0.35">
      <c r="B22" s="22"/>
      <c r="C22" s="22"/>
      <c r="D22" s="15"/>
      <c r="E22" s="15"/>
      <c r="F22" s="15"/>
      <c r="G22" s="15"/>
      <c r="H22" s="15"/>
    </row>
    <row r="23" spans="2:15" ht="17.399999999999999" x14ac:dyDescent="0.35">
      <c r="B23" s="22"/>
      <c r="C23" s="22" t="s">
        <v>100</v>
      </c>
      <c r="D23" s="16" t="s">
        <v>199</v>
      </c>
      <c r="E23" s="16"/>
      <c r="F23" s="16"/>
      <c r="G23" s="16"/>
      <c r="H23" s="16"/>
    </row>
    <row r="25" spans="2:15" ht="15" thickBot="1" x14ac:dyDescent="0.35"/>
    <row r="26" spans="2:15" ht="22.2" thickTop="1" thickBot="1" x14ac:dyDescent="0.35">
      <c r="B26" s="114" t="str">
        <f>_xlfn.CONCAT("HORÁRIO TURMAS PRÉ-UNIVERSITÁRIO - 23/01 - SEGUNDA-FEIRA")</f>
        <v>HORÁRIO TURMAS PRÉ-UNIVERSITÁRIO - 23/01 - SEGUNDA-FEIRA</v>
      </c>
      <c r="C26" s="115"/>
      <c r="D26" s="115"/>
      <c r="E26" s="115"/>
      <c r="F26" s="115"/>
      <c r="G26" s="115"/>
      <c r="H26" s="116"/>
      <c r="J26" s="114" t="str">
        <f>_xlfn.CONCAT("HORÁRIO TURMA ENEM - ",dataSem," - TURMA ONLINE")</f>
        <v>HORÁRIO TURMA ENEM - 23/01 - 27/01 - TURMA ONLINE</v>
      </c>
      <c r="K26" s="115"/>
      <c r="L26" s="115"/>
      <c r="M26" s="115"/>
      <c r="N26" s="115"/>
      <c r="O26" s="116"/>
    </row>
    <row r="27" spans="2:15" ht="18.600000000000001" thickTop="1" thickBot="1" x14ac:dyDescent="0.35">
      <c r="B27" s="1"/>
      <c r="C27" s="2" t="s">
        <v>200</v>
      </c>
      <c r="D27" s="2" t="s">
        <v>201</v>
      </c>
      <c r="E27" s="2" t="s">
        <v>131</v>
      </c>
      <c r="F27" s="2" t="s">
        <v>202</v>
      </c>
      <c r="G27" s="2" t="s">
        <v>205</v>
      </c>
      <c r="H27" s="2" t="s">
        <v>204</v>
      </c>
    </row>
    <row r="28" spans="2:15" ht="18" thickTop="1" x14ac:dyDescent="0.3">
      <c r="B28" s="11" t="s">
        <v>5</v>
      </c>
      <c r="C28" s="11" t="s">
        <v>19</v>
      </c>
      <c r="D28" s="11" t="s">
        <v>41</v>
      </c>
      <c r="E28" s="11" t="s">
        <v>57</v>
      </c>
      <c r="F28" s="11" t="s">
        <v>13</v>
      </c>
      <c r="G28" s="11" t="s">
        <v>6</v>
      </c>
      <c r="H28" s="11" t="s">
        <v>55</v>
      </c>
    </row>
    <row r="29" spans="2:15" ht="18" thickBot="1" x14ac:dyDescent="0.35">
      <c r="B29" s="3" t="s">
        <v>68</v>
      </c>
      <c r="C29" s="3" t="s">
        <v>10</v>
      </c>
      <c r="D29" s="3" t="s">
        <v>46</v>
      </c>
      <c r="E29" s="3" t="s">
        <v>35</v>
      </c>
      <c r="F29" s="3" t="s">
        <v>17</v>
      </c>
      <c r="G29" s="3" t="s">
        <v>8</v>
      </c>
      <c r="H29" s="3" t="s">
        <v>79</v>
      </c>
    </row>
    <row r="30" spans="2:15" ht="18" thickTop="1" x14ac:dyDescent="0.3">
      <c r="B30" s="11" t="s">
        <v>12</v>
      </c>
      <c r="C30" s="11" t="s">
        <v>13</v>
      </c>
      <c r="D30" s="11" t="s">
        <v>19</v>
      </c>
      <c r="E30" s="11" t="s">
        <v>41</v>
      </c>
      <c r="F30" s="11" t="s">
        <v>57</v>
      </c>
      <c r="G30" s="11" t="s">
        <v>55</v>
      </c>
      <c r="H30" s="11" t="s">
        <v>6</v>
      </c>
    </row>
    <row r="31" spans="2:15" ht="18" thickBot="1" x14ac:dyDescent="0.35">
      <c r="B31" s="3" t="s">
        <v>69</v>
      </c>
      <c r="C31" s="3" t="s">
        <v>17</v>
      </c>
      <c r="D31" s="3" t="s">
        <v>10</v>
      </c>
      <c r="E31" s="3" t="s">
        <v>46</v>
      </c>
      <c r="F31" s="3" t="s">
        <v>35</v>
      </c>
      <c r="G31" s="3" t="s">
        <v>79</v>
      </c>
      <c r="H31" s="3" t="s">
        <v>8</v>
      </c>
    </row>
    <row r="32" spans="2:15" ht="18.600000000000001" thickTop="1" thickBot="1" x14ac:dyDescent="0.35">
      <c r="B32" s="5" t="s">
        <v>197</v>
      </c>
      <c r="C32" s="117" t="s">
        <v>23</v>
      </c>
      <c r="D32" s="118"/>
      <c r="E32" s="118"/>
      <c r="F32" s="118"/>
      <c r="G32" s="118"/>
      <c r="H32" s="119"/>
    </row>
    <row r="33" spans="2:15" ht="18" thickTop="1" x14ac:dyDescent="0.3">
      <c r="B33" s="11" t="s">
        <v>18</v>
      </c>
      <c r="C33" s="11" t="s">
        <v>57</v>
      </c>
      <c r="D33" s="11" t="s">
        <v>6</v>
      </c>
      <c r="E33" s="11" t="s">
        <v>55</v>
      </c>
      <c r="F33" s="11" t="s">
        <v>41</v>
      </c>
      <c r="G33" s="11" t="s">
        <v>19</v>
      </c>
      <c r="H33" s="11" t="s">
        <v>13</v>
      </c>
    </row>
    <row r="34" spans="2:15" ht="18" thickBot="1" x14ac:dyDescent="0.35">
      <c r="B34" s="3" t="s">
        <v>181</v>
      </c>
      <c r="C34" s="3" t="s">
        <v>35</v>
      </c>
      <c r="D34" s="3" t="s">
        <v>8</v>
      </c>
      <c r="E34" s="3" t="s">
        <v>79</v>
      </c>
      <c r="F34" s="3" t="s">
        <v>46</v>
      </c>
      <c r="G34" s="3" t="s">
        <v>10</v>
      </c>
      <c r="H34" s="3" t="s">
        <v>17</v>
      </c>
    </row>
    <row r="35" spans="2:15" ht="18" thickTop="1" x14ac:dyDescent="0.3">
      <c r="B35" s="11" t="s">
        <v>24</v>
      </c>
      <c r="C35" s="11" t="s">
        <v>41</v>
      </c>
      <c r="D35" s="11" t="s">
        <v>57</v>
      </c>
      <c r="E35" s="11" t="s">
        <v>6</v>
      </c>
      <c r="F35" s="11" t="s">
        <v>55</v>
      </c>
      <c r="G35" s="11" t="s">
        <v>13</v>
      </c>
      <c r="H35" s="11" t="s">
        <v>19</v>
      </c>
    </row>
    <row r="36" spans="2:15" ht="18" thickBot="1" x14ac:dyDescent="0.35">
      <c r="B36" s="3" t="s">
        <v>182</v>
      </c>
      <c r="C36" s="3" t="s">
        <v>46</v>
      </c>
      <c r="D36" s="3" t="s">
        <v>35</v>
      </c>
      <c r="E36" s="3" t="s">
        <v>8</v>
      </c>
      <c r="F36" s="3" t="s">
        <v>79</v>
      </c>
      <c r="G36" s="3" t="s">
        <v>17</v>
      </c>
      <c r="H36" s="3" t="s">
        <v>10</v>
      </c>
    </row>
    <row r="37" spans="2:15" ht="18.600000000000001" thickTop="1" thickBot="1" x14ac:dyDescent="0.35">
      <c r="B37" s="5" t="s">
        <v>198</v>
      </c>
      <c r="C37" s="117" t="s">
        <v>23</v>
      </c>
      <c r="D37" s="118"/>
      <c r="E37" s="118"/>
      <c r="F37" s="118"/>
      <c r="G37" s="118"/>
      <c r="H37" s="119"/>
    </row>
    <row r="38" spans="2:15" ht="18" thickTop="1" x14ac:dyDescent="0.3">
      <c r="B38" s="11" t="s">
        <v>30</v>
      </c>
      <c r="C38" s="11" t="s">
        <v>6</v>
      </c>
      <c r="D38" s="11" t="s">
        <v>55</v>
      </c>
      <c r="E38" s="11" t="s">
        <v>13</v>
      </c>
      <c r="F38" s="11" t="s">
        <v>19</v>
      </c>
      <c r="G38" s="11" t="s">
        <v>41</v>
      </c>
      <c r="H38" s="11" t="s">
        <v>57</v>
      </c>
    </row>
    <row r="39" spans="2:15" ht="18" thickBot="1" x14ac:dyDescent="0.35">
      <c r="B39" s="3" t="s">
        <v>73</v>
      </c>
      <c r="C39" s="3" t="s">
        <v>8</v>
      </c>
      <c r="D39" s="3" t="s">
        <v>79</v>
      </c>
      <c r="E39" s="3" t="s">
        <v>17</v>
      </c>
      <c r="F39" s="3" t="s">
        <v>10</v>
      </c>
      <c r="G39" s="3" t="s">
        <v>46</v>
      </c>
      <c r="H39" s="3" t="s">
        <v>35</v>
      </c>
    </row>
    <row r="40" spans="2:15" ht="18" thickTop="1" x14ac:dyDescent="0.3">
      <c r="B40" s="11" t="s">
        <v>39</v>
      </c>
      <c r="C40" s="11" t="s">
        <v>55</v>
      </c>
      <c r="D40" s="11" t="s">
        <v>13</v>
      </c>
      <c r="E40" s="11" t="s">
        <v>19</v>
      </c>
      <c r="F40" s="11" t="s">
        <v>6</v>
      </c>
      <c r="G40" s="11" t="s">
        <v>57</v>
      </c>
      <c r="H40" s="11" t="s">
        <v>41</v>
      </c>
    </row>
    <row r="41" spans="2:15" ht="18" thickBot="1" x14ac:dyDescent="0.35">
      <c r="B41" s="3" t="s">
        <v>74</v>
      </c>
      <c r="C41" s="3" t="s">
        <v>79</v>
      </c>
      <c r="D41" s="3" t="s">
        <v>17</v>
      </c>
      <c r="E41" s="3" t="s">
        <v>10</v>
      </c>
      <c r="F41" s="3" t="s">
        <v>8</v>
      </c>
      <c r="G41" s="3" t="s">
        <v>35</v>
      </c>
      <c r="H41" s="3" t="s">
        <v>46</v>
      </c>
    </row>
    <row r="42" spans="2:15" ht="15.6" thickTop="1" thickBot="1" x14ac:dyDescent="0.35"/>
    <row r="43" spans="2:15" ht="22.2" thickTop="1" thickBot="1" x14ac:dyDescent="0.35">
      <c r="B43" s="114" t="str">
        <f>_xlfn.CONCAT("HORÁRIO TURMAS PRÉ-UNIVERSITÁRIO - 24/01 - TERÇA-FEIRA")</f>
        <v>HORÁRIO TURMAS PRÉ-UNIVERSITÁRIO - 24/01 - TERÇA-FEIRA</v>
      </c>
      <c r="C43" s="115"/>
      <c r="D43" s="115"/>
      <c r="E43" s="115"/>
      <c r="F43" s="115"/>
      <c r="G43" s="115"/>
      <c r="H43" s="116"/>
      <c r="J43" s="114" t="str">
        <f>_xlfn.CONCAT("HORÁRIO COLÉGIO EVOLUÇÃO - ",dataSem," - 3ª SÉRIE")</f>
        <v>HORÁRIO COLÉGIO EVOLUÇÃO - 23/01 - 27/01 - 3ª SÉRIE</v>
      </c>
      <c r="K43" s="115"/>
      <c r="L43" s="115"/>
      <c r="M43" s="115"/>
      <c r="N43" s="115"/>
      <c r="O43" s="116"/>
    </row>
    <row r="44" spans="2:15" ht="18.600000000000001" thickTop="1" thickBot="1" x14ac:dyDescent="0.35">
      <c r="B44" s="1"/>
      <c r="C44" s="2" t="s">
        <v>200</v>
      </c>
      <c r="D44" s="2" t="s">
        <v>201</v>
      </c>
      <c r="E44" s="2" t="s">
        <v>131</v>
      </c>
      <c r="F44" s="2" t="s">
        <v>202</v>
      </c>
      <c r="G44" s="2" t="s">
        <v>203</v>
      </c>
      <c r="H44" s="2" t="s">
        <v>204</v>
      </c>
    </row>
    <row r="45" spans="2:15" ht="18" thickTop="1" x14ac:dyDescent="0.3">
      <c r="B45" s="11" t="s">
        <v>5</v>
      </c>
      <c r="C45" s="11" t="s">
        <v>19</v>
      </c>
      <c r="D45" s="11" t="s">
        <v>41</v>
      </c>
      <c r="E45" s="11" t="s">
        <v>55</v>
      </c>
      <c r="F45" s="11" t="s">
        <v>13</v>
      </c>
      <c r="G45" s="11" t="s">
        <v>6</v>
      </c>
      <c r="H45" s="11" t="s">
        <v>57</v>
      </c>
    </row>
    <row r="46" spans="2:15" ht="18" thickBot="1" x14ac:dyDescent="0.35">
      <c r="B46" s="3" t="s">
        <v>68</v>
      </c>
      <c r="C46" s="3" t="s">
        <v>10</v>
      </c>
      <c r="D46" s="3" t="s">
        <v>46</v>
      </c>
      <c r="E46" s="3" t="s">
        <v>79</v>
      </c>
      <c r="F46" s="3" t="s">
        <v>17</v>
      </c>
      <c r="G46" s="3" t="s">
        <v>8</v>
      </c>
      <c r="H46" s="3" t="s">
        <v>35</v>
      </c>
    </row>
    <row r="47" spans="2:15" ht="18" thickTop="1" x14ac:dyDescent="0.3">
      <c r="B47" s="11" t="s">
        <v>12</v>
      </c>
      <c r="C47" s="11" t="s">
        <v>13</v>
      </c>
      <c r="D47" s="11" t="s">
        <v>19</v>
      </c>
      <c r="E47" s="11" t="s">
        <v>41</v>
      </c>
      <c r="F47" s="11" t="s">
        <v>55</v>
      </c>
      <c r="G47" s="11" t="s">
        <v>57</v>
      </c>
      <c r="H47" s="11" t="s">
        <v>6</v>
      </c>
    </row>
    <row r="48" spans="2:15" ht="18" thickBot="1" x14ac:dyDescent="0.35">
      <c r="B48" s="3" t="s">
        <v>69</v>
      </c>
      <c r="C48" s="3" t="s">
        <v>17</v>
      </c>
      <c r="D48" s="3" t="s">
        <v>10</v>
      </c>
      <c r="E48" s="3" t="s">
        <v>46</v>
      </c>
      <c r="F48" s="3" t="s">
        <v>79</v>
      </c>
      <c r="G48" s="3" t="s">
        <v>35</v>
      </c>
      <c r="H48" s="3" t="s">
        <v>8</v>
      </c>
    </row>
    <row r="49" spans="2:8" ht="18.600000000000001" thickTop="1" thickBot="1" x14ac:dyDescent="0.35">
      <c r="B49" s="5" t="s">
        <v>197</v>
      </c>
      <c r="C49" s="117" t="s">
        <v>23</v>
      </c>
      <c r="D49" s="118"/>
      <c r="E49" s="118"/>
      <c r="F49" s="118"/>
      <c r="G49" s="118"/>
      <c r="H49" s="119"/>
    </row>
    <row r="50" spans="2:8" ht="18" thickTop="1" x14ac:dyDescent="0.3">
      <c r="B50" s="11" t="s">
        <v>18</v>
      </c>
      <c r="C50" s="11" t="s">
        <v>55</v>
      </c>
      <c r="D50" s="11" t="s">
        <v>6</v>
      </c>
      <c r="E50" s="11" t="s">
        <v>57</v>
      </c>
      <c r="F50" s="11" t="s">
        <v>41</v>
      </c>
      <c r="G50" s="11" t="s">
        <v>19</v>
      </c>
      <c r="H50" s="11" t="s">
        <v>13</v>
      </c>
    </row>
    <row r="51" spans="2:8" ht="18" thickBot="1" x14ac:dyDescent="0.35">
      <c r="B51" s="3" t="s">
        <v>181</v>
      </c>
      <c r="C51" s="3" t="s">
        <v>79</v>
      </c>
      <c r="D51" s="3" t="s">
        <v>8</v>
      </c>
      <c r="E51" s="3" t="s">
        <v>35</v>
      </c>
      <c r="F51" s="3" t="s">
        <v>46</v>
      </c>
      <c r="G51" s="3" t="s">
        <v>10</v>
      </c>
      <c r="H51" s="3" t="s">
        <v>17</v>
      </c>
    </row>
    <row r="52" spans="2:8" ht="18" thickTop="1" x14ac:dyDescent="0.3">
      <c r="B52" s="11" t="s">
        <v>24</v>
      </c>
      <c r="C52" s="11" t="s">
        <v>41</v>
      </c>
      <c r="D52" s="11" t="s">
        <v>55</v>
      </c>
      <c r="E52" s="11" t="s">
        <v>6</v>
      </c>
      <c r="F52" s="11" t="s">
        <v>57</v>
      </c>
      <c r="G52" s="11" t="s">
        <v>13</v>
      </c>
      <c r="H52" s="11" t="s">
        <v>19</v>
      </c>
    </row>
    <row r="53" spans="2:8" ht="18" thickBot="1" x14ac:dyDescent="0.35">
      <c r="B53" s="3" t="s">
        <v>182</v>
      </c>
      <c r="C53" s="3" t="s">
        <v>46</v>
      </c>
      <c r="D53" s="3" t="s">
        <v>79</v>
      </c>
      <c r="E53" s="3" t="s">
        <v>8</v>
      </c>
      <c r="F53" s="3" t="s">
        <v>35</v>
      </c>
      <c r="G53" s="3" t="s">
        <v>17</v>
      </c>
      <c r="H53" s="3" t="s">
        <v>10</v>
      </c>
    </row>
    <row r="54" spans="2:8" ht="18.600000000000001" thickTop="1" thickBot="1" x14ac:dyDescent="0.35">
      <c r="B54" s="5" t="s">
        <v>198</v>
      </c>
      <c r="C54" s="117" t="s">
        <v>23</v>
      </c>
      <c r="D54" s="118"/>
      <c r="E54" s="118"/>
      <c r="F54" s="118"/>
      <c r="G54" s="118"/>
      <c r="H54" s="119"/>
    </row>
    <row r="55" spans="2:8" ht="18" thickTop="1" x14ac:dyDescent="0.3">
      <c r="B55" s="11" t="s">
        <v>30</v>
      </c>
      <c r="C55" s="11" t="s">
        <v>6</v>
      </c>
      <c r="D55" s="11" t="s">
        <v>57</v>
      </c>
      <c r="E55" s="11" t="s">
        <v>13</v>
      </c>
      <c r="F55" s="11" t="s">
        <v>19</v>
      </c>
      <c r="G55" s="11" t="s">
        <v>41</v>
      </c>
      <c r="H55" s="11" t="s">
        <v>55</v>
      </c>
    </row>
    <row r="56" spans="2:8" ht="18" thickBot="1" x14ac:dyDescent="0.35">
      <c r="B56" s="3" t="s">
        <v>73</v>
      </c>
      <c r="C56" s="3" t="s">
        <v>8</v>
      </c>
      <c r="D56" s="3" t="s">
        <v>35</v>
      </c>
      <c r="E56" s="3" t="s">
        <v>17</v>
      </c>
      <c r="F56" s="3" t="s">
        <v>10</v>
      </c>
      <c r="G56" s="3" t="s">
        <v>46</v>
      </c>
      <c r="H56" s="3" t="s">
        <v>79</v>
      </c>
    </row>
    <row r="57" spans="2:8" ht="18" thickTop="1" x14ac:dyDescent="0.3">
      <c r="B57" s="11" t="s">
        <v>39</v>
      </c>
      <c r="C57" s="11" t="s">
        <v>57</v>
      </c>
      <c r="D57" s="11" t="s">
        <v>13</v>
      </c>
      <c r="E57" s="11" t="s">
        <v>19</v>
      </c>
      <c r="F57" s="11" t="s">
        <v>6</v>
      </c>
      <c r="G57" s="11" t="s">
        <v>55</v>
      </c>
      <c r="H57" s="11" t="s">
        <v>41</v>
      </c>
    </row>
    <row r="58" spans="2:8" ht="18" thickBot="1" x14ac:dyDescent="0.35">
      <c r="B58" s="3" t="s">
        <v>74</v>
      </c>
      <c r="C58" s="3" t="s">
        <v>35</v>
      </c>
      <c r="D58" s="3" t="s">
        <v>17</v>
      </c>
      <c r="E58" s="3" t="s">
        <v>10</v>
      </c>
      <c r="F58" s="3" t="s">
        <v>8</v>
      </c>
      <c r="G58" s="3" t="s">
        <v>79</v>
      </c>
      <c r="H58" s="3" t="s">
        <v>46</v>
      </c>
    </row>
    <row r="59" spans="2:8" ht="15.6" thickTop="1" thickBot="1" x14ac:dyDescent="0.35"/>
    <row r="60" spans="2:8" ht="22.2" thickTop="1" thickBot="1" x14ac:dyDescent="0.35">
      <c r="B60" s="114" t="str">
        <f>_xlfn.CONCAT("HORÁRIO TURMA ENEM - ",dataSem," - TURMA 01")</f>
        <v>HORÁRIO TURMA ENEM - 23/01 - 27/01 - TURMA 01</v>
      </c>
      <c r="C60" s="115"/>
      <c r="D60" s="115"/>
      <c r="E60" s="115"/>
      <c r="F60" s="115"/>
      <c r="G60" s="115"/>
      <c r="H60" s="116"/>
    </row>
    <row r="61" spans="2:8" ht="18.600000000000001" thickTop="1" thickBot="1" x14ac:dyDescent="0.35">
      <c r="B61" s="1"/>
      <c r="C61" s="2" t="s">
        <v>0</v>
      </c>
      <c r="D61" s="2" t="s">
        <v>1</v>
      </c>
      <c r="E61" s="2" t="s">
        <v>2</v>
      </c>
      <c r="F61" s="2" t="s">
        <v>3</v>
      </c>
      <c r="G61" s="2"/>
      <c r="H61" s="2" t="s">
        <v>4</v>
      </c>
    </row>
    <row r="62" spans="2:8" ht="18" thickTop="1" x14ac:dyDescent="0.3">
      <c r="B62" s="11" t="s">
        <v>5</v>
      </c>
      <c r="C62" s="124"/>
      <c r="D62" s="124"/>
      <c r="E62" s="124"/>
      <c r="F62" s="124"/>
      <c r="G62" s="11"/>
      <c r="H62" s="124"/>
    </row>
    <row r="63" spans="2:8" ht="18" thickBot="1" x14ac:dyDescent="0.35">
      <c r="B63" s="3" t="s">
        <v>68</v>
      </c>
      <c r="C63" s="125"/>
      <c r="D63" s="125"/>
      <c r="E63" s="125"/>
      <c r="F63" s="125"/>
      <c r="G63" s="5"/>
      <c r="H63" s="125"/>
    </row>
    <row r="64" spans="2:8" ht="18" thickTop="1" x14ac:dyDescent="0.3">
      <c r="B64" s="11" t="s">
        <v>12</v>
      </c>
      <c r="C64" s="124"/>
      <c r="D64" s="124"/>
      <c r="E64" s="124"/>
      <c r="F64" s="124"/>
      <c r="G64" s="11"/>
      <c r="H64" s="124"/>
    </row>
    <row r="65" spans="2:8" ht="18" thickBot="1" x14ac:dyDescent="0.35">
      <c r="B65" s="3" t="s">
        <v>69</v>
      </c>
      <c r="C65" s="125"/>
      <c r="D65" s="125"/>
      <c r="E65" s="125"/>
      <c r="F65" s="125"/>
      <c r="G65" s="5"/>
      <c r="H65" s="125"/>
    </row>
    <row r="66" spans="2:8" ht="18.600000000000001" thickTop="1" thickBot="1" x14ac:dyDescent="0.35">
      <c r="B66" s="5" t="s">
        <v>197</v>
      </c>
      <c r="C66" s="117" t="s">
        <v>23</v>
      </c>
      <c r="D66" s="118"/>
      <c r="E66" s="118"/>
      <c r="F66" s="118"/>
      <c r="G66" s="118"/>
      <c r="H66" s="119"/>
    </row>
    <row r="67" spans="2:8" ht="18" thickTop="1" x14ac:dyDescent="0.3">
      <c r="B67" s="11" t="s">
        <v>18</v>
      </c>
      <c r="C67" s="124"/>
      <c r="D67" s="124"/>
      <c r="E67" s="124"/>
      <c r="F67" s="124"/>
      <c r="G67" s="11"/>
      <c r="H67" s="124"/>
    </row>
    <row r="68" spans="2:8" ht="18" thickBot="1" x14ac:dyDescent="0.35">
      <c r="B68" s="3" t="s">
        <v>181</v>
      </c>
      <c r="C68" s="125"/>
      <c r="D68" s="125"/>
      <c r="E68" s="125"/>
      <c r="F68" s="125"/>
      <c r="G68" s="5"/>
      <c r="H68" s="125"/>
    </row>
    <row r="69" spans="2:8" ht="18" thickTop="1" x14ac:dyDescent="0.3">
      <c r="B69" s="11" t="s">
        <v>24</v>
      </c>
      <c r="C69" s="124"/>
      <c r="D69" s="124"/>
      <c r="E69" s="124"/>
      <c r="F69" s="124"/>
      <c r="G69" s="11"/>
      <c r="H69" s="124"/>
    </row>
    <row r="70" spans="2:8" ht="18" thickBot="1" x14ac:dyDescent="0.35">
      <c r="B70" s="3" t="s">
        <v>182</v>
      </c>
      <c r="C70" s="125"/>
      <c r="D70" s="125"/>
      <c r="E70" s="125"/>
      <c r="F70" s="125"/>
      <c r="G70" s="5"/>
      <c r="H70" s="125"/>
    </row>
    <row r="71" spans="2:8" ht="18.600000000000001" thickTop="1" thickBot="1" x14ac:dyDescent="0.35">
      <c r="B71" s="5" t="s">
        <v>198</v>
      </c>
      <c r="C71" s="117" t="s">
        <v>23</v>
      </c>
      <c r="D71" s="118"/>
      <c r="E71" s="118"/>
      <c r="F71" s="118"/>
      <c r="G71" s="118"/>
      <c r="H71" s="119"/>
    </row>
    <row r="72" spans="2:8" ht="18" thickTop="1" x14ac:dyDescent="0.3">
      <c r="B72" s="11" t="s">
        <v>30</v>
      </c>
      <c r="C72" s="124"/>
      <c r="D72" s="124"/>
      <c r="E72" s="124"/>
      <c r="F72" s="124"/>
      <c r="G72" s="11"/>
      <c r="H72" s="124"/>
    </row>
    <row r="73" spans="2:8" ht="18" thickBot="1" x14ac:dyDescent="0.35">
      <c r="B73" s="3" t="s">
        <v>73</v>
      </c>
      <c r="C73" s="125"/>
      <c r="D73" s="125"/>
      <c r="E73" s="125"/>
      <c r="F73" s="125"/>
      <c r="G73" s="5"/>
      <c r="H73" s="125"/>
    </row>
    <row r="74" spans="2:8" ht="18" thickTop="1" x14ac:dyDescent="0.3">
      <c r="B74" s="11" t="s">
        <v>39</v>
      </c>
      <c r="C74" s="124"/>
      <c r="D74" s="124"/>
      <c r="E74" s="124"/>
      <c r="F74" s="124"/>
      <c r="G74" s="11"/>
      <c r="H74" s="124"/>
    </row>
    <row r="75" spans="2:8" ht="18" thickBot="1" x14ac:dyDescent="0.35">
      <c r="B75" s="3" t="s">
        <v>74</v>
      </c>
      <c r="C75" s="125"/>
      <c r="D75" s="125"/>
      <c r="E75" s="125"/>
      <c r="F75" s="125"/>
      <c r="G75" s="5"/>
      <c r="H75" s="125"/>
    </row>
    <row r="76" spans="2:8" ht="15.6" thickTop="1" thickBot="1" x14ac:dyDescent="0.35"/>
    <row r="77" spans="2:8" ht="22.2" thickTop="1" thickBot="1" x14ac:dyDescent="0.35">
      <c r="B77" s="114" t="str">
        <f>_xlfn.CONCAT("HORÁRIO TURMA ENEM - ",dataSem," - TURMA 02")</f>
        <v>HORÁRIO TURMA ENEM - 23/01 - 27/01 - TURMA 02</v>
      </c>
      <c r="C77" s="115"/>
      <c r="D77" s="115"/>
      <c r="E77" s="115"/>
      <c r="F77" s="115"/>
      <c r="G77" s="115"/>
      <c r="H77" s="116"/>
    </row>
    <row r="78" spans="2:8" ht="18.600000000000001" thickTop="1" thickBot="1" x14ac:dyDescent="0.35">
      <c r="B78" s="1"/>
      <c r="C78" s="2" t="s">
        <v>0</v>
      </c>
      <c r="D78" s="2" t="s">
        <v>1</v>
      </c>
      <c r="E78" s="2" t="s">
        <v>2</v>
      </c>
      <c r="F78" s="2" t="s">
        <v>3</v>
      </c>
      <c r="G78" s="2"/>
      <c r="H78" s="2" t="s">
        <v>4</v>
      </c>
    </row>
    <row r="79" spans="2:8" ht="18" thickTop="1" x14ac:dyDescent="0.3">
      <c r="B79" s="11" t="s">
        <v>5</v>
      </c>
      <c r="C79" s="124"/>
      <c r="D79" s="124"/>
      <c r="E79" s="124"/>
      <c r="F79" s="124"/>
      <c r="G79" s="11"/>
      <c r="H79" s="124"/>
    </row>
    <row r="80" spans="2:8" ht="18" thickBot="1" x14ac:dyDescent="0.35">
      <c r="B80" s="3" t="s">
        <v>68</v>
      </c>
      <c r="C80" s="125"/>
      <c r="D80" s="125"/>
      <c r="E80" s="125"/>
      <c r="F80" s="125"/>
      <c r="G80" s="5"/>
      <c r="H80" s="125"/>
    </row>
    <row r="81" spans="2:8" ht="18" thickTop="1" x14ac:dyDescent="0.3">
      <c r="B81" s="11" t="s">
        <v>12</v>
      </c>
      <c r="C81" s="124"/>
      <c r="D81" s="124"/>
      <c r="E81" s="124"/>
      <c r="F81" s="124"/>
      <c r="G81" s="11"/>
      <c r="H81" s="124"/>
    </row>
    <row r="82" spans="2:8" ht="18" thickBot="1" x14ac:dyDescent="0.35">
      <c r="B82" s="3" t="s">
        <v>69</v>
      </c>
      <c r="C82" s="125"/>
      <c r="D82" s="125"/>
      <c r="E82" s="125"/>
      <c r="F82" s="125"/>
      <c r="G82" s="5"/>
      <c r="H82" s="125"/>
    </row>
    <row r="83" spans="2:8" ht="18.600000000000001" thickTop="1" thickBot="1" x14ac:dyDescent="0.35">
      <c r="B83" s="5" t="s">
        <v>197</v>
      </c>
      <c r="C83" s="117" t="s">
        <v>23</v>
      </c>
      <c r="D83" s="118"/>
      <c r="E83" s="118"/>
      <c r="F83" s="118"/>
      <c r="G83" s="118"/>
      <c r="H83" s="119"/>
    </row>
    <row r="84" spans="2:8" ht="18" thickTop="1" x14ac:dyDescent="0.3">
      <c r="B84" s="11" t="s">
        <v>18</v>
      </c>
      <c r="C84" s="124"/>
      <c r="D84" s="124"/>
      <c r="E84" s="124"/>
      <c r="F84" s="124"/>
      <c r="G84" s="11"/>
      <c r="H84" s="124"/>
    </row>
    <row r="85" spans="2:8" ht="18" thickBot="1" x14ac:dyDescent="0.35">
      <c r="B85" s="3" t="s">
        <v>181</v>
      </c>
      <c r="C85" s="125"/>
      <c r="D85" s="125"/>
      <c r="E85" s="125"/>
      <c r="F85" s="125"/>
      <c r="G85" s="5"/>
      <c r="H85" s="125"/>
    </row>
    <row r="86" spans="2:8" ht="18" thickTop="1" x14ac:dyDescent="0.3">
      <c r="B86" s="11" t="s">
        <v>24</v>
      </c>
      <c r="C86" s="124"/>
      <c r="D86" s="124"/>
      <c r="E86" s="124"/>
      <c r="F86" s="124"/>
      <c r="G86" s="11"/>
      <c r="H86" s="124"/>
    </row>
    <row r="87" spans="2:8" ht="18" thickBot="1" x14ac:dyDescent="0.35">
      <c r="B87" s="3" t="s">
        <v>182</v>
      </c>
      <c r="C87" s="125"/>
      <c r="D87" s="125"/>
      <c r="E87" s="125"/>
      <c r="F87" s="125"/>
      <c r="G87" s="5"/>
      <c r="H87" s="125"/>
    </row>
    <row r="88" spans="2:8" ht="18.600000000000001" thickTop="1" thickBot="1" x14ac:dyDescent="0.35">
      <c r="B88" s="5" t="s">
        <v>198</v>
      </c>
      <c r="C88" s="117" t="s">
        <v>23</v>
      </c>
      <c r="D88" s="118"/>
      <c r="E88" s="118"/>
      <c r="F88" s="118"/>
      <c r="G88" s="118"/>
      <c r="H88" s="119"/>
    </row>
    <row r="89" spans="2:8" ht="18" thickTop="1" x14ac:dyDescent="0.3">
      <c r="B89" s="11" t="s">
        <v>30</v>
      </c>
      <c r="C89" s="124"/>
      <c r="D89" s="124"/>
      <c r="E89" s="124"/>
      <c r="F89" s="124"/>
      <c r="G89" s="11"/>
      <c r="H89" s="124"/>
    </row>
    <row r="90" spans="2:8" ht="18" thickBot="1" x14ac:dyDescent="0.35">
      <c r="B90" s="3" t="s">
        <v>73</v>
      </c>
      <c r="C90" s="125"/>
      <c r="D90" s="125"/>
      <c r="E90" s="125"/>
      <c r="F90" s="125"/>
      <c r="G90" s="5"/>
      <c r="H90" s="125"/>
    </row>
    <row r="91" spans="2:8" ht="18" thickTop="1" x14ac:dyDescent="0.3">
      <c r="B91" s="11" t="s">
        <v>39</v>
      </c>
      <c r="C91" s="124"/>
      <c r="D91" s="124"/>
      <c r="E91" s="124"/>
      <c r="F91" s="124"/>
      <c r="G91" s="11"/>
      <c r="H91" s="124"/>
    </row>
    <row r="92" spans="2:8" ht="18" thickBot="1" x14ac:dyDescent="0.35">
      <c r="B92" s="3" t="s">
        <v>74</v>
      </c>
      <c r="C92" s="125"/>
      <c r="D92" s="125"/>
      <c r="E92" s="125"/>
      <c r="F92" s="125"/>
      <c r="G92" s="5"/>
      <c r="H92" s="125"/>
    </row>
    <row r="93" spans="2:8" ht="15.6" thickTop="1" thickBot="1" x14ac:dyDescent="0.35"/>
    <row r="94" spans="2:8" ht="22.2" thickTop="1" thickBot="1" x14ac:dyDescent="0.35">
      <c r="B94" s="114" t="str">
        <f>_xlfn.CONCAT("HORÁRIO TURMA ENEM - ",dataSem," - TURMA 03")</f>
        <v>HORÁRIO TURMA ENEM - 23/01 - 27/01 - TURMA 03</v>
      </c>
      <c r="C94" s="115"/>
      <c r="D94" s="115"/>
      <c r="E94" s="115"/>
      <c r="F94" s="115"/>
      <c r="G94" s="115"/>
      <c r="H94" s="116"/>
    </row>
    <row r="95" spans="2:8" ht="18.600000000000001" thickTop="1" thickBot="1" x14ac:dyDescent="0.35">
      <c r="B95" s="1"/>
      <c r="C95" s="2" t="s">
        <v>0</v>
      </c>
      <c r="D95" s="2" t="s">
        <v>1</v>
      </c>
      <c r="E95" s="2" t="s">
        <v>2</v>
      </c>
      <c r="F95" s="2" t="s">
        <v>3</v>
      </c>
      <c r="G95" s="2"/>
      <c r="H95" s="2" t="s">
        <v>4</v>
      </c>
    </row>
    <row r="96" spans="2:8" ht="18" thickTop="1" x14ac:dyDescent="0.3">
      <c r="B96" s="11" t="s">
        <v>5</v>
      </c>
      <c r="C96" s="124"/>
      <c r="D96" s="124"/>
      <c r="E96" s="124"/>
      <c r="F96" s="124"/>
      <c r="G96" s="11"/>
      <c r="H96" s="124"/>
    </row>
    <row r="97" spans="2:8" ht="18" thickBot="1" x14ac:dyDescent="0.35">
      <c r="B97" s="3" t="s">
        <v>68</v>
      </c>
      <c r="C97" s="125"/>
      <c r="D97" s="125"/>
      <c r="E97" s="125"/>
      <c r="F97" s="125"/>
      <c r="G97" s="5"/>
      <c r="H97" s="125"/>
    </row>
    <row r="98" spans="2:8" ht="18" thickTop="1" x14ac:dyDescent="0.3">
      <c r="B98" s="11" t="s">
        <v>12</v>
      </c>
      <c r="C98" s="124"/>
      <c r="D98" s="124"/>
      <c r="E98" s="124"/>
      <c r="F98" s="124"/>
      <c r="G98" s="11"/>
      <c r="H98" s="124"/>
    </row>
    <row r="99" spans="2:8" ht="18" thickBot="1" x14ac:dyDescent="0.35">
      <c r="B99" s="3" t="s">
        <v>69</v>
      </c>
      <c r="C99" s="125"/>
      <c r="D99" s="125"/>
      <c r="E99" s="125"/>
      <c r="F99" s="125"/>
      <c r="G99" s="5"/>
      <c r="H99" s="125"/>
    </row>
    <row r="100" spans="2:8" ht="18.600000000000001" thickTop="1" thickBot="1" x14ac:dyDescent="0.35">
      <c r="B100" s="5" t="s">
        <v>197</v>
      </c>
      <c r="C100" s="117" t="s">
        <v>23</v>
      </c>
      <c r="D100" s="118"/>
      <c r="E100" s="118"/>
      <c r="F100" s="118"/>
      <c r="G100" s="118"/>
      <c r="H100" s="119"/>
    </row>
    <row r="101" spans="2:8" ht="18" thickTop="1" x14ac:dyDescent="0.3">
      <c r="B101" s="11" t="s">
        <v>18</v>
      </c>
      <c r="C101" s="124"/>
      <c r="D101" s="124"/>
      <c r="E101" s="124"/>
      <c r="F101" s="124"/>
      <c r="G101" s="11"/>
      <c r="H101" s="124"/>
    </row>
    <row r="102" spans="2:8" ht="18" thickBot="1" x14ac:dyDescent="0.35">
      <c r="B102" s="3" t="s">
        <v>181</v>
      </c>
      <c r="C102" s="125"/>
      <c r="D102" s="125"/>
      <c r="E102" s="125"/>
      <c r="F102" s="125"/>
      <c r="G102" s="5"/>
      <c r="H102" s="125"/>
    </row>
    <row r="103" spans="2:8" ht="18" thickTop="1" x14ac:dyDescent="0.3">
      <c r="B103" s="11" t="s">
        <v>24</v>
      </c>
      <c r="C103" s="124"/>
      <c r="D103" s="124"/>
      <c r="E103" s="124"/>
      <c r="F103" s="124"/>
      <c r="G103" s="11"/>
      <c r="H103" s="124"/>
    </row>
    <row r="104" spans="2:8" ht="18" thickBot="1" x14ac:dyDescent="0.35">
      <c r="B104" s="3" t="s">
        <v>182</v>
      </c>
      <c r="C104" s="125"/>
      <c r="D104" s="125"/>
      <c r="E104" s="125"/>
      <c r="F104" s="125"/>
      <c r="G104" s="5"/>
      <c r="H104" s="125"/>
    </row>
    <row r="105" spans="2:8" ht="18.600000000000001" thickTop="1" thickBot="1" x14ac:dyDescent="0.35">
      <c r="B105" s="5" t="s">
        <v>198</v>
      </c>
      <c r="C105" s="117" t="s">
        <v>23</v>
      </c>
      <c r="D105" s="118"/>
      <c r="E105" s="118"/>
      <c r="F105" s="118"/>
      <c r="G105" s="118"/>
      <c r="H105" s="119"/>
    </row>
    <row r="106" spans="2:8" ht="18" thickTop="1" x14ac:dyDescent="0.3">
      <c r="B106" s="11" t="s">
        <v>30</v>
      </c>
      <c r="C106" s="124"/>
      <c r="D106" s="124"/>
      <c r="E106" s="124"/>
      <c r="F106" s="124"/>
      <c r="G106" s="11"/>
      <c r="H106" s="124"/>
    </row>
    <row r="107" spans="2:8" ht="18" thickBot="1" x14ac:dyDescent="0.35">
      <c r="B107" s="3" t="s">
        <v>73</v>
      </c>
      <c r="C107" s="125"/>
      <c r="D107" s="125"/>
      <c r="E107" s="125"/>
      <c r="F107" s="125"/>
      <c r="G107" s="5"/>
      <c r="H107" s="125"/>
    </row>
    <row r="108" spans="2:8" ht="18" thickTop="1" x14ac:dyDescent="0.3">
      <c r="B108" s="11" t="s">
        <v>39</v>
      </c>
      <c r="C108" s="124"/>
      <c r="D108" s="124"/>
      <c r="E108" s="124"/>
      <c r="F108" s="124"/>
      <c r="G108" s="11"/>
      <c r="H108" s="124"/>
    </row>
    <row r="109" spans="2:8" ht="18" thickBot="1" x14ac:dyDescent="0.35">
      <c r="B109" s="3" t="s">
        <v>74</v>
      </c>
      <c r="C109" s="125"/>
      <c r="D109" s="125"/>
      <c r="E109" s="125"/>
      <c r="F109" s="125"/>
      <c r="G109" s="5"/>
      <c r="H109" s="125"/>
    </row>
    <row r="110" spans="2:8" ht="15.6" thickTop="1" thickBot="1" x14ac:dyDescent="0.35"/>
    <row r="111" spans="2:8" ht="22.2" thickTop="1" thickBot="1" x14ac:dyDescent="0.35">
      <c r="B111" s="114" t="str">
        <f>_xlfn.CONCAT("HORÁRIO TURMA ENEM - ",dataSem," - TURMA 04")</f>
        <v>HORÁRIO TURMA ENEM - 23/01 - 27/01 - TURMA 04</v>
      </c>
      <c r="C111" s="115"/>
      <c r="D111" s="115"/>
      <c r="E111" s="115"/>
      <c r="F111" s="115"/>
      <c r="G111" s="115"/>
      <c r="H111" s="116"/>
    </row>
    <row r="112" spans="2:8" ht="18.600000000000001" thickTop="1" thickBot="1" x14ac:dyDescent="0.35">
      <c r="B112" s="1"/>
      <c r="C112" s="2" t="s">
        <v>0</v>
      </c>
      <c r="D112" s="2" t="s">
        <v>1</v>
      </c>
      <c r="E112" s="2" t="s">
        <v>2</v>
      </c>
      <c r="F112" s="2" t="s">
        <v>3</v>
      </c>
      <c r="G112" s="2"/>
      <c r="H112" s="2" t="s">
        <v>4</v>
      </c>
    </row>
    <row r="113" spans="2:8" ht="18" thickTop="1" x14ac:dyDescent="0.3">
      <c r="B113" s="11" t="s">
        <v>5</v>
      </c>
      <c r="C113" s="124"/>
      <c r="D113" s="124"/>
      <c r="E113" s="124"/>
      <c r="F113" s="124"/>
      <c r="G113" s="11"/>
      <c r="H113" s="124"/>
    </row>
    <row r="114" spans="2:8" ht="18" thickBot="1" x14ac:dyDescent="0.35">
      <c r="B114" s="3" t="s">
        <v>68</v>
      </c>
      <c r="C114" s="125"/>
      <c r="D114" s="125"/>
      <c r="E114" s="125"/>
      <c r="F114" s="125"/>
      <c r="G114" s="5"/>
      <c r="H114" s="125"/>
    </row>
    <row r="115" spans="2:8" ht="18" thickTop="1" x14ac:dyDescent="0.3">
      <c r="B115" s="11" t="s">
        <v>12</v>
      </c>
      <c r="C115" s="124"/>
      <c r="D115" s="124"/>
      <c r="E115" s="124"/>
      <c r="F115" s="124"/>
      <c r="G115" s="11"/>
      <c r="H115" s="124"/>
    </row>
    <row r="116" spans="2:8" ht="18" thickBot="1" x14ac:dyDescent="0.35">
      <c r="B116" s="3" t="s">
        <v>69</v>
      </c>
      <c r="C116" s="125"/>
      <c r="D116" s="125"/>
      <c r="E116" s="125"/>
      <c r="F116" s="125"/>
      <c r="G116" s="5"/>
      <c r="H116" s="125"/>
    </row>
    <row r="117" spans="2:8" ht="18.600000000000001" thickTop="1" thickBot="1" x14ac:dyDescent="0.35">
      <c r="B117" s="5" t="s">
        <v>197</v>
      </c>
      <c r="C117" s="117" t="s">
        <v>23</v>
      </c>
      <c r="D117" s="118"/>
      <c r="E117" s="118"/>
      <c r="F117" s="118"/>
      <c r="G117" s="118"/>
      <c r="H117" s="119"/>
    </row>
    <row r="118" spans="2:8" ht="18" thickTop="1" x14ac:dyDescent="0.3">
      <c r="B118" s="11" t="s">
        <v>18</v>
      </c>
      <c r="C118" s="124"/>
      <c r="D118" s="124"/>
      <c r="E118" s="124"/>
      <c r="F118" s="124"/>
      <c r="G118" s="11"/>
      <c r="H118" s="124"/>
    </row>
    <row r="119" spans="2:8" ht="18" thickBot="1" x14ac:dyDescent="0.35">
      <c r="B119" s="3" t="s">
        <v>181</v>
      </c>
      <c r="C119" s="125"/>
      <c r="D119" s="125"/>
      <c r="E119" s="125"/>
      <c r="F119" s="125"/>
      <c r="G119" s="5"/>
      <c r="H119" s="125"/>
    </row>
    <row r="120" spans="2:8" ht="18" thickTop="1" x14ac:dyDescent="0.3">
      <c r="B120" s="11" t="s">
        <v>24</v>
      </c>
      <c r="C120" s="124"/>
      <c r="D120" s="124"/>
      <c r="E120" s="124"/>
      <c r="F120" s="124"/>
      <c r="G120" s="11"/>
      <c r="H120" s="124"/>
    </row>
    <row r="121" spans="2:8" ht="18" thickBot="1" x14ac:dyDescent="0.35">
      <c r="B121" s="3" t="s">
        <v>182</v>
      </c>
      <c r="C121" s="125"/>
      <c r="D121" s="125"/>
      <c r="E121" s="125"/>
      <c r="F121" s="125"/>
      <c r="G121" s="5"/>
      <c r="H121" s="125"/>
    </row>
    <row r="122" spans="2:8" ht="18.600000000000001" thickTop="1" thickBot="1" x14ac:dyDescent="0.35">
      <c r="B122" s="5" t="s">
        <v>198</v>
      </c>
      <c r="C122" s="117" t="s">
        <v>23</v>
      </c>
      <c r="D122" s="118"/>
      <c r="E122" s="118"/>
      <c r="F122" s="118"/>
      <c r="G122" s="118"/>
      <c r="H122" s="119"/>
    </row>
    <row r="123" spans="2:8" ht="18" thickTop="1" x14ac:dyDescent="0.3">
      <c r="B123" s="11" t="s">
        <v>30</v>
      </c>
      <c r="C123" s="124"/>
      <c r="D123" s="124"/>
      <c r="E123" s="124"/>
      <c r="F123" s="124"/>
      <c r="G123" s="11"/>
      <c r="H123" s="124"/>
    </row>
    <row r="124" spans="2:8" ht="18" thickBot="1" x14ac:dyDescent="0.35">
      <c r="B124" s="3" t="s">
        <v>73</v>
      </c>
      <c r="C124" s="125"/>
      <c r="D124" s="125"/>
      <c r="E124" s="125"/>
      <c r="F124" s="125"/>
      <c r="G124" s="5"/>
      <c r="H124" s="125"/>
    </row>
    <row r="125" spans="2:8" ht="18" thickTop="1" x14ac:dyDescent="0.3">
      <c r="B125" s="11" t="s">
        <v>39</v>
      </c>
      <c r="C125" s="124"/>
      <c r="D125" s="124"/>
      <c r="E125" s="124"/>
      <c r="F125" s="124"/>
      <c r="G125" s="11"/>
      <c r="H125" s="124"/>
    </row>
    <row r="126" spans="2:8" ht="18" thickBot="1" x14ac:dyDescent="0.35">
      <c r="B126" s="3" t="s">
        <v>74</v>
      </c>
      <c r="C126" s="125"/>
      <c r="D126" s="125"/>
      <c r="E126" s="125"/>
      <c r="F126" s="125"/>
      <c r="G126" s="5"/>
      <c r="H126" s="125"/>
    </row>
    <row r="127" spans="2:8" ht="15" thickTop="1" x14ac:dyDescent="0.3"/>
  </sheetData>
  <mergeCells count="143">
    <mergeCell ref="B2:H2"/>
    <mergeCell ref="C10:H10"/>
    <mergeCell ref="B17:H17"/>
    <mergeCell ref="B26:H26"/>
    <mergeCell ref="J26:O26"/>
    <mergeCell ref="C32:H32"/>
    <mergeCell ref="C37:H37"/>
    <mergeCell ref="B43:H43"/>
    <mergeCell ref="J43:O43"/>
    <mergeCell ref="C49:H49"/>
    <mergeCell ref="C54:H54"/>
    <mergeCell ref="B60:H60"/>
    <mergeCell ref="C66:H66"/>
    <mergeCell ref="C71:H71"/>
    <mergeCell ref="B77:H77"/>
    <mergeCell ref="C83:H83"/>
    <mergeCell ref="C88:H88"/>
    <mergeCell ref="B94:H94"/>
    <mergeCell ref="C69:C70"/>
    <mergeCell ref="D69:D70"/>
    <mergeCell ref="E69:E70"/>
    <mergeCell ref="F69:F70"/>
    <mergeCell ref="C62:C63"/>
    <mergeCell ref="D62:D63"/>
    <mergeCell ref="E62:E63"/>
    <mergeCell ref="F62:F63"/>
    <mergeCell ref="H62:H63"/>
    <mergeCell ref="H69:H70"/>
    <mergeCell ref="C72:C73"/>
    <mergeCell ref="D72:D73"/>
    <mergeCell ref="E72:E73"/>
    <mergeCell ref="F72:F73"/>
    <mergeCell ref="H72:H73"/>
    <mergeCell ref="C64:C65"/>
    <mergeCell ref="D64:D65"/>
    <mergeCell ref="E64:E65"/>
    <mergeCell ref="F64:F65"/>
    <mergeCell ref="H64:H65"/>
    <mergeCell ref="C67:C68"/>
    <mergeCell ref="D67:D68"/>
    <mergeCell ref="E67:E68"/>
    <mergeCell ref="F67:F68"/>
    <mergeCell ref="H67:H68"/>
    <mergeCell ref="C74:C75"/>
    <mergeCell ref="D74:D75"/>
    <mergeCell ref="E74:E75"/>
    <mergeCell ref="F74:F75"/>
    <mergeCell ref="H74:H75"/>
    <mergeCell ref="C79:C80"/>
    <mergeCell ref="D79:D80"/>
    <mergeCell ref="E79:E80"/>
    <mergeCell ref="F79:F80"/>
    <mergeCell ref="H79:H80"/>
    <mergeCell ref="C81:C82"/>
    <mergeCell ref="D81:D82"/>
    <mergeCell ref="E81:E82"/>
    <mergeCell ref="F81:F82"/>
    <mergeCell ref="H81:H82"/>
    <mergeCell ref="C84:C85"/>
    <mergeCell ref="D84:D85"/>
    <mergeCell ref="E84:E85"/>
    <mergeCell ref="F84:F85"/>
    <mergeCell ref="H84:H85"/>
    <mergeCell ref="C86:C87"/>
    <mergeCell ref="D86:D87"/>
    <mergeCell ref="E86:E87"/>
    <mergeCell ref="F86:F87"/>
    <mergeCell ref="H86:H87"/>
    <mergeCell ref="C89:C90"/>
    <mergeCell ref="D89:D90"/>
    <mergeCell ref="E89:E90"/>
    <mergeCell ref="F89:F90"/>
    <mergeCell ref="H89:H90"/>
    <mergeCell ref="C91:C92"/>
    <mergeCell ref="D91:D92"/>
    <mergeCell ref="E91:E92"/>
    <mergeCell ref="F91:F92"/>
    <mergeCell ref="H91:H92"/>
    <mergeCell ref="C96:C97"/>
    <mergeCell ref="D96:D97"/>
    <mergeCell ref="E96:E97"/>
    <mergeCell ref="F96:F97"/>
    <mergeCell ref="H96:H97"/>
    <mergeCell ref="C98:C99"/>
    <mergeCell ref="D98:D99"/>
    <mergeCell ref="E98:E99"/>
    <mergeCell ref="F98:F99"/>
    <mergeCell ref="H98:H99"/>
    <mergeCell ref="C101:C102"/>
    <mergeCell ref="D101:D102"/>
    <mergeCell ref="E101:E102"/>
    <mergeCell ref="F101:F102"/>
    <mergeCell ref="H101:H102"/>
    <mergeCell ref="C100:H100"/>
    <mergeCell ref="C103:C104"/>
    <mergeCell ref="D103:D104"/>
    <mergeCell ref="E103:E104"/>
    <mergeCell ref="F103:F104"/>
    <mergeCell ref="H103:H104"/>
    <mergeCell ref="C106:C107"/>
    <mergeCell ref="D106:D107"/>
    <mergeCell ref="E106:E107"/>
    <mergeCell ref="F106:F107"/>
    <mergeCell ref="H106:H107"/>
    <mergeCell ref="C105:H105"/>
    <mergeCell ref="C108:C109"/>
    <mergeCell ref="D108:D109"/>
    <mergeCell ref="E108:E109"/>
    <mergeCell ref="F108:F109"/>
    <mergeCell ref="H108:H109"/>
    <mergeCell ref="C113:C114"/>
    <mergeCell ref="D113:D114"/>
    <mergeCell ref="E113:E114"/>
    <mergeCell ref="F113:F114"/>
    <mergeCell ref="H113:H114"/>
    <mergeCell ref="B111:H111"/>
    <mergeCell ref="C115:C116"/>
    <mergeCell ref="D115:D116"/>
    <mergeCell ref="E115:E116"/>
    <mergeCell ref="F115:F116"/>
    <mergeCell ref="H115:H116"/>
    <mergeCell ref="C118:C119"/>
    <mergeCell ref="D118:D119"/>
    <mergeCell ref="E118:E119"/>
    <mergeCell ref="F118:F119"/>
    <mergeCell ref="H118:H119"/>
    <mergeCell ref="C117:H117"/>
    <mergeCell ref="C125:C126"/>
    <mergeCell ref="D125:D126"/>
    <mergeCell ref="E125:E126"/>
    <mergeCell ref="F125:F126"/>
    <mergeCell ref="H125:H126"/>
    <mergeCell ref="C120:C121"/>
    <mergeCell ref="D120:D121"/>
    <mergeCell ref="E120:E121"/>
    <mergeCell ref="F120:F121"/>
    <mergeCell ref="H120:H121"/>
    <mergeCell ref="C123:C124"/>
    <mergeCell ref="D123:D124"/>
    <mergeCell ref="E123:E124"/>
    <mergeCell ref="F123:F124"/>
    <mergeCell ref="H123:H124"/>
    <mergeCell ref="C122:H122"/>
  </mergeCells>
  <printOptions horizontalCentered="1"/>
  <pageMargins left="0.11811023622047245" right="0.11811023622047245" top="0.39370078740157483" bottom="0.39370078740157483" header="0.31496062992125984" footer="0.31496062992125984"/>
  <pageSetup paperSize="9" scale="54" fitToHeight="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E3CC8B-9490-463C-84A9-C70687EDEBD0}">
  <sheetPr codeName="Planilha11"/>
  <dimension ref="B1:J29"/>
  <sheetViews>
    <sheetView topLeftCell="A4" zoomScale="86" zoomScaleNormal="86" workbookViewId="0">
      <selection activeCell="B2" sqref="B2:G28"/>
    </sheetView>
  </sheetViews>
  <sheetFormatPr defaultRowHeight="14.4" x14ac:dyDescent="0.3"/>
  <cols>
    <col min="2" max="2" width="16.33203125" customWidth="1"/>
    <col min="3" max="7" width="30.6640625" customWidth="1"/>
    <col min="8" max="8" width="14.33203125" customWidth="1"/>
    <col min="9" max="9" width="14.6640625" customWidth="1"/>
    <col min="10" max="10" width="20.33203125" bestFit="1" customWidth="1"/>
  </cols>
  <sheetData>
    <row r="1" spans="2:10" ht="15" thickBot="1" x14ac:dyDescent="0.35"/>
    <row r="2" spans="2:10" ht="22.2" thickTop="1" thickBot="1" x14ac:dyDescent="0.35">
      <c r="B2" s="114" t="s">
        <v>195</v>
      </c>
      <c r="C2" s="115"/>
      <c r="D2" s="115"/>
      <c r="E2" s="115"/>
      <c r="F2" s="115"/>
      <c r="G2" s="116"/>
      <c r="H2" s="33"/>
      <c r="I2" s="33"/>
      <c r="J2" s="33"/>
    </row>
    <row r="3" spans="2:10" ht="18.600000000000001" thickTop="1" thickBot="1" x14ac:dyDescent="0.35">
      <c r="B3" s="1"/>
      <c r="C3" s="2" t="s">
        <v>0</v>
      </c>
      <c r="D3" s="2" t="s">
        <v>1</v>
      </c>
      <c r="E3" s="2" t="s">
        <v>2</v>
      </c>
      <c r="F3" s="2" t="s">
        <v>3</v>
      </c>
      <c r="G3" s="2" t="s">
        <v>4</v>
      </c>
    </row>
    <row r="4" spans="2:10" ht="18" customHeight="1" thickTop="1" x14ac:dyDescent="0.3">
      <c r="B4" s="11" t="s">
        <v>5</v>
      </c>
      <c r="C4" s="6" t="s">
        <v>153</v>
      </c>
      <c r="D4" s="6" t="s">
        <v>40</v>
      </c>
      <c r="E4" s="6" t="s">
        <v>101</v>
      </c>
      <c r="F4" s="6" t="s">
        <v>62</v>
      </c>
      <c r="G4" s="6" t="s">
        <v>61</v>
      </c>
    </row>
    <row r="5" spans="2:10" ht="18" thickBot="1" x14ac:dyDescent="0.35">
      <c r="B5" s="3" t="s">
        <v>138</v>
      </c>
      <c r="C5" s="4" t="s">
        <v>154</v>
      </c>
      <c r="D5" s="4" t="s">
        <v>92</v>
      </c>
      <c r="E5" s="4" t="s">
        <v>27</v>
      </c>
      <c r="F5" s="4" t="s">
        <v>37</v>
      </c>
      <c r="G5" s="4" t="s">
        <v>107</v>
      </c>
    </row>
    <row r="6" spans="2:10" ht="18" customHeight="1" thickTop="1" x14ac:dyDescent="0.3">
      <c r="B6" s="11" t="s">
        <v>12</v>
      </c>
      <c r="C6" s="6" t="s">
        <v>153</v>
      </c>
      <c r="D6" s="6" t="s">
        <v>25</v>
      </c>
      <c r="E6" s="6" t="s">
        <v>101</v>
      </c>
      <c r="F6" s="6" t="s">
        <v>63</v>
      </c>
      <c r="G6" s="6" t="s">
        <v>61</v>
      </c>
    </row>
    <row r="7" spans="2:10" ht="18" thickBot="1" x14ac:dyDescent="0.35">
      <c r="B7" s="3" t="s">
        <v>139</v>
      </c>
      <c r="C7" s="4" t="s">
        <v>154</v>
      </c>
      <c r="D7" s="4" t="s">
        <v>56</v>
      </c>
      <c r="E7" s="4" t="s">
        <v>27</v>
      </c>
      <c r="F7" s="4" t="s">
        <v>9</v>
      </c>
      <c r="G7" s="4" t="s">
        <v>107</v>
      </c>
    </row>
    <row r="8" spans="2:10" ht="18" customHeight="1" thickTop="1" x14ac:dyDescent="0.3">
      <c r="B8" s="11" t="s">
        <v>18</v>
      </c>
      <c r="C8" s="6" t="s">
        <v>156</v>
      </c>
      <c r="D8" s="6" t="s">
        <v>25</v>
      </c>
      <c r="E8" s="6" t="s">
        <v>16</v>
      </c>
      <c r="F8" s="6" t="s">
        <v>63</v>
      </c>
      <c r="G8" s="6" t="s">
        <v>63</v>
      </c>
    </row>
    <row r="9" spans="2:10" ht="18" thickBot="1" x14ac:dyDescent="0.35">
      <c r="B9" s="3" t="s">
        <v>140</v>
      </c>
      <c r="C9" s="4" t="s">
        <v>157</v>
      </c>
      <c r="D9" s="4" t="s">
        <v>56</v>
      </c>
      <c r="E9" s="4" t="s">
        <v>89</v>
      </c>
      <c r="F9" s="4" t="s">
        <v>9</v>
      </c>
      <c r="G9" s="4" t="s">
        <v>110</v>
      </c>
    </row>
    <row r="10" spans="2:10" ht="18.600000000000001" thickTop="1" thickBot="1" x14ac:dyDescent="0.35">
      <c r="B10" s="5" t="s">
        <v>141</v>
      </c>
      <c r="C10" s="117" t="s">
        <v>23</v>
      </c>
      <c r="D10" s="118"/>
      <c r="E10" s="118"/>
      <c r="F10" s="118"/>
      <c r="G10" s="119"/>
    </row>
    <row r="11" spans="2:10" ht="18" customHeight="1" thickTop="1" x14ac:dyDescent="0.3">
      <c r="B11" s="11" t="s">
        <v>24</v>
      </c>
      <c r="C11" s="6" t="s">
        <v>94</v>
      </c>
      <c r="D11" s="124" t="s">
        <v>152</v>
      </c>
      <c r="E11" s="124" t="s">
        <v>152</v>
      </c>
      <c r="F11" s="124" t="s">
        <v>152</v>
      </c>
      <c r="G11" s="124" t="s">
        <v>152</v>
      </c>
    </row>
    <row r="12" spans="2:10" ht="18" thickBot="1" x14ac:dyDescent="0.35">
      <c r="B12" s="3" t="s">
        <v>142</v>
      </c>
      <c r="C12" s="4" t="s">
        <v>11</v>
      </c>
      <c r="D12" s="125"/>
      <c r="E12" s="125"/>
      <c r="F12" s="125"/>
      <c r="G12" s="125"/>
    </row>
    <row r="13" spans="2:10" ht="18" thickTop="1" x14ac:dyDescent="0.3">
      <c r="B13" s="11" t="s">
        <v>30</v>
      </c>
      <c r="C13" s="6" t="s">
        <v>94</v>
      </c>
      <c r="D13" s="11" t="s">
        <v>61</v>
      </c>
      <c r="E13" s="6" t="s">
        <v>65</v>
      </c>
      <c r="F13" s="6" t="s">
        <v>94</v>
      </c>
      <c r="G13" s="6" t="s">
        <v>62</v>
      </c>
    </row>
    <row r="14" spans="2:10" ht="18" thickBot="1" x14ac:dyDescent="0.35">
      <c r="B14" s="3" t="s">
        <v>143</v>
      </c>
      <c r="C14" s="4" t="s">
        <v>11</v>
      </c>
      <c r="D14" s="4" t="s">
        <v>79</v>
      </c>
      <c r="E14" s="4" t="s">
        <v>48</v>
      </c>
      <c r="F14" s="4" t="s">
        <v>47</v>
      </c>
      <c r="G14" s="4" t="s">
        <v>90</v>
      </c>
    </row>
    <row r="15" spans="2:10" ht="18" thickTop="1" x14ac:dyDescent="0.3">
      <c r="B15" s="11" t="s">
        <v>39</v>
      </c>
      <c r="C15" s="124" t="s">
        <v>152</v>
      </c>
      <c r="D15" s="6" t="s">
        <v>63</v>
      </c>
      <c r="E15" s="6" t="s">
        <v>65</v>
      </c>
      <c r="F15" s="6" t="s">
        <v>94</v>
      </c>
      <c r="G15" s="6" t="s">
        <v>62</v>
      </c>
    </row>
    <row r="16" spans="2:10" ht="18" thickBot="1" x14ac:dyDescent="0.35">
      <c r="B16" s="3" t="s">
        <v>144</v>
      </c>
      <c r="C16" s="125"/>
      <c r="D16" s="4" t="s">
        <v>110</v>
      </c>
      <c r="E16" s="4" t="s">
        <v>48</v>
      </c>
      <c r="F16" s="4" t="s">
        <v>47</v>
      </c>
      <c r="G16" s="4" t="s">
        <v>90</v>
      </c>
    </row>
    <row r="17" spans="2:7" ht="18.600000000000001" thickTop="1" thickBot="1" x14ac:dyDescent="0.35">
      <c r="B17" s="5" t="s">
        <v>145</v>
      </c>
      <c r="C17" s="117" t="s">
        <v>160</v>
      </c>
      <c r="D17" s="118"/>
      <c r="E17" s="118"/>
      <c r="F17" s="118"/>
      <c r="G17" s="119"/>
    </row>
    <row r="18" spans="2:7" ht="18" thickTop="1" x14ac:dyDescent="0.3">
      <c r="B18" s="11" t="s">
        <v>5</v>
      </c>
      <c r="C18" s="124" t="s">
        <v>191</v>
      </c>
      <c r="D18" s="6" t="s">
        <v>189</v>
      </c>
      <c r="E18" s="6" t="s">
        <v>65</v>
      </c>
      <c r="F18" s="6" t="s">
        <v>164</v>
      </c>
      <c r="G18" s="6" t="s">
        <v>64</v>
      </c>
    </row>
    <row r="19" spans="2:7" ht="18" thickBot="1" x14ac:dyDescent="0.35">
      <c r="B19" s="3" t="s">
        <v>146</v>
      </c>
      <c r="C19" s="125"/>
      <c r="D19" s="4" t="s">
        <v>35</v>
      </c>
      <c r="E19" s="4" t="s">
        <v>36</v>
      </c>
      <c r="F19" s="4" t="s">
        <v>36</v>
      </c>
      <c r="G19" s="4" t="s">
        <v>21</v>
      </c>
    </row>
    <row r="20" spans="2:7" ht="18" thickTop="1" x14ac:dyDescent="0.3">
      <c r="B20" s="11" t="s">
        <v>12</v>
      </c>
      <c r="C20" s="124" t="s">
        <v>191</v>
      </c>
      <c r="D20" s="6" t="s">
        <v>189</v>
      </c>
      <c r="E20" s="70"/>
      <c r="F20" s="70"/>
      <c r="G20" s="6" t="s">
        <v>64</v>
      </c>
    </row>
    <row r="21" spans="2:7" ht="18" thickBot="1" x14ac:dyDescent="0.35">
      <c r="B21" s="3" t="s">
        <v>147</v>
      </c>
      <c r="C21" s="125"/>
      <c r="D21" s="4" t="s">
        <v>190</v>
      </c>
      <c r="E21" s="71"/>
      <c r="F21" s="71"/>
      <c r="G21" s="4" t="s">
        <v>21</v>
      </c>
    </row>
    <row r="22" spans="2:7" ht="18.600000000000001" thickTop="1" thickBot="1" x14ac:dyDescent="0.35">
      <c r="B22" s="5" t="s">
        <v>148</v>
      </c>
      <c r="C22" s="117" t="s">
        <v>23</v>
      </c>
      <c r="D22" s="118"/>
      <c r="E22" s="118"/>
      <c r="F22" s="118"/>
      <c r="G22" s="119"/>
    </row>
    <row r="23" spans="2:7" ht="18" thickTop="1" x14ac:dyDescent="0.3">
      <c r="B23" s="11" t="s">
        <v>18</v>
      </c>
      <c r="C23" s="124" t="s">
        <v>191</v>
      </c>
      <c r="D23" s="6" t="s">
        <v>192</v>
      </c>
      <c r="E23" s="6" t="s">
        <v>179</v>
      </c>
      <c r="F23" s="6" t="s">
        <v>62</v>
      </c>
      <c r="G23" s="70"/>
    </row>
    <row r="24" spans="2:7" ht="18" thickBot="1" x14ac:dyDescent="0.35">
      <c r="B24" s="3" t="s">
        <v>149</v>
      </c>
      <c r="C24" s="125"/>
      <c r="D24" s="4" t="s">
        <v>193</v>
      </c>
      <c r="E24" s="4" t="s">
        <v>28</v>
      </c>
      <c r="F24" s="4" t="s">
        <v>37</v>
      </c>
      <c r="G24" s="71"/>
    </row>
    <row r="25" spans="2:7" ht="18" thickTop="1" x14ac:dyDescent="0.3">
      <c r="B25" s="11" t="s">
        <v>24</v>
      </c>
      <c r="C25" s="124" t="s">
        <v>191</v>
      </c>
      <c r="D25" s="6" t="s">
        <v>192</v>
      </c>
      <c r="E25" s="6" t="s">
        <v>163</v>
      </c>
      <c r="F25" s="6" t="s">
        <v>175</v>
      </c>
      <c r="G25" s="70"/>
    </row>
    <row r="26" spans="2:7" ht="18" thickBot="1" x14ac:dyDescent="0.35">
      <c r="B26" s="3" t="s">
        <v>150</v>
      </c>
      <c r="C26" s="125"/>
      <c r="D26" s="4" t="s">
        <v>193</v>
      </c>
      <c r="E26" s="4" t="s">
        <v>129</v>
      </c>
      <c r="F26" s="4" t="s">
        <v>194</v>
      </c>
      <c r="G26" s="71"/>
    </row>
    <row r="27" spans="2:7" ht="18" thickTop="1" x14ac:dyDescent="0.3">
      <c r="B27" s="11" t="s">
        <v>30</v>
      </c>
      <c r="C27" s="70"/>
      <c r="D27" s="70"/>
      <c r="E27" s="70"/>
      <c r="F27" s="70"/>
      <c r="G27" s="70"/>
    </row>
    <row r="28" spans="2:7" ht="18" thickBot="1" x14ac:dyDescent="0.35">
      <c r="B28" s="3" t="s">
        <v>151</v>
      </c>
      <c r="C28" s="71"/>
      <c r="D28" s="71"/>
      <c r="E28" s="71"/>
      <c r="F28" s="71"/>
      <c r="G28" s="71"/>
    </row>
    <row r="29" spans="2:7" ht="15" thickTop="1" x14ac:dyDescent="0.3"/>
  </sheetData>
  <mergeCells count="13">
    <mergeCell ref="B2:G2"/>
    <mergeCell ref="C18:C19"/>
    <mergeCell ref="C20:C21"/>
    <mergeCell ref="C25:C26"/>
    <mergeCell ref="C23:C24"/>
    <mergeCell ref="C17:G17"/>
    <mergeCell ref="C22:G22"/>
    <mergeCell ref="C15:C16"/>
    <mergeCell ref="C10:G10"/>
    <mergeCell ref="D11:D12"/>
    <mergeCell ref="E11:E12"/>
    <mergeCell ref="F11:F12"/>
    <mergeCell ref="G11:G12"/>
  </mergeCells>
  <pageMargins left="0.51181102362204722" right="0.51181102362204722" top="0.78740157480314965" bottom="0.78740157480314965" header="0.31496062992125984" footer="0.31496062992125984"/>
  <pageSetup paperSize="9" scale="70"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EC2322-23DC-4B85-B7E8-3897EAD5AFF1}">
  <sheetPr codeName="Planilha12"/>
  <dimension ref="B1:K29"/>
  <sheetViews>
    <sheetView zoomScale="86" zoomScaleNormal="86" workbookViewId="0">
      <selection activeCell="B2" sqref="B2:G2"/>
    </sheetView>
  </sheetViews>
  <sheetFormatPr defaultRowHeight="14.4" x14ac:dyDescent="0.3"/>
  <cols>
    <col min="2" max="2" width="16.33203125" customWidth="1"/>
    <col min="3" max="4" width="30.6640625" customWidth="1"/>
    <col min="5" max="5" width="32" bestFit="1" customWidth="1"/>
    <col min="6" max="7" width="30.6640625" customWidth="1"/>
    <col min="8" max="8" width="14.33203125" customWidth="1"/>
    <col min="9" max="9" width="20.44140625" bestFit="1" customWidth="1"/>
    <col min="10" max="10" width="14.6640625" customWidth="1"/>
    <col min="11" max="11" width="20.33203125" bestFit="1" customWidth="1"/>
  </cols>
  <sheetData>
    <row r="1" spans="2:11" ht="15" thickBot="1" x14ac:dyDescent="0.35"/>
    <row r="2" spans="2:11" ht="22.2" thickTop="1" thickBot="1" x14ac:dyDescent="0.35">
      <c r="B2" s="114" t="s">
        <v>169</v>
      </c>
      <c r="C2" s="115"/>
      <c r="D2" s="115"/>
      <c r="E2" s="115"/>
      <c r="F2" s="115"/>
      <c r="G2" s="116"/>
      <c r="H2" s="33"/>
      <c r="I2" s="33"/>
      <c r="J2" s="33"/>
      <c r="K2" s="33"/>
    </row>
    <row r="3" spans="2:11" ht="18.600000000000001" thickTop="1" thickBot="1" x14ac:dyDescent="0.35">
      <c r="B3" s="1"/>
      <c r="C3" s="2" t="s">
        <v>0</v>
      </c>
      <c r="D3" s="2" t="s">
        <v>1</v>
      </c>
      <c r="E3" s="2" t="s">
        <v>2</v>
      </c>
      <c r="F3" s="2" t="s">
        <v>3</v>
      </c>
      <c r="G3" s="2" t="s">
        <v>4</v>
      </c>
    </row>
    <row r="4" spans="2:11" ht="18" thickTop="1" x14ac:dyDescent="0.3">
      <c r="B4" s="11" t="s">
        <v>5</v>
      </c>
      <c r="C4" s="72" t="s">
        <v>6</v>
      </c>
      <c r="D4" s="80" t="s">
        <v>40</v>
      </c>
      <c r="E4" s="72" t="s">
        <v>65</v>
      </c>
      <c r="F4" s="73" t="s">
        <v>94</v>
      </c>
      <c r="G4" s="72" t="s">
        <v>62</v>
      </c>
    </row>
    <row r="5" spans="2:11" ht="18" thickBot="1" x14ac:dyDescent="0.35">
      <c r="B5" s="3" t="s">
        <v>138</v>
      </c>
      <c r="C5" s="75" t="s">
        <v>79</v>
      </c>
      <c r="D5" s="81" t="s">
        <v>92</v>
      </c>
      <c r="E5" s="75" t="s">
        <v>48</v>
      </c>
      <c r="F5" s="74" t="s">
        <v>47</v>
      </c>
      <c r="G5" s="75" t="s">
        <v>90</v>
      </c>
    </row>
    <row r="6" spans="2:11" ht="18" thickTop="1" x14ac:dyDescent="0.3">
      <c r="B6" s="11" t="s">
        <v>12</v>
      </c>
      <c r="C6" s="72" t="s">
        <v>6</v>
      </c>
      <c r="D6" s="78" t="s">
        <v>25</v>
      </c>
      <c r="E6" s="72" t="s">
        <v>65</v>
      </c>
      <c r="F6" s="73" t="s">
        <v>94</v>
      </c>
      <c r="G6" s="72" t="s">
        <v>62</v>
      </c>
    </row>
    <row r="7" spans="2:11" ht="18" thickBot="1" x14ac:dyDescent="0.35">
      <c r="B7" s="3" t="s">
        <v>139</v>
      </c>
      <c r="C7" s="75" t="s">
        <v>79</v>
      </c>
      <c r="D7" s="79" t="s">
        <v>56</v>
      </c>
      <c r="E7" s="75" t="s">
        <v>48</v>
      </c>
      <c r="F7" s="74" t="s">
        <v>47</v>
      </c>
      <c r="G7" s="75" t="s">
        <v>90</v>
      </c>
    </row>
    <row r="8" spans="2:11" ht="18" thickTop="1" x14ac:dyDescent="0.3">
      <c r="B8" s="11" t="s">
        <v>18</v>
      </c>
      <c r="C8" s="133" t="s">
        <v>152</v>
      </c>
      <c r="D8" s="78" t="s">
        <v>101</v>
      </c>
      <c r="E8" s="133" t="s">
        <v>152</v>
      </c>
      <c r="F8" s="133" t="s">
        <v>152</v>
      </c>
      <c r="G8" s="133" t="s">
        <v>152</v>
      </c>
    </row>
    <row r="9" spans="2:11" ht="18" thickBot="1" x14ac:dyDescent="0.35">
      <c r="B9" s="3" t="s">
        <v>140</v>
      </c>
      <c r="C9" s="134"/>
      <c r="D9" s="79" t="s">
        <v>27</v>
      </c>
      <c r="E9" s="134"/>
      <c r="F9" s="134"/>
      <c r="G9" s="134"/>
    </row>
    <row r="10" spans="2:11" ht="18.600000000000001" thickTop="1" thickBot="1" x14ac:dyDescent="0.35">
      <c r="B10" s="5" t="s">
        <v>141</v>
      </c>
      <c r="C10" s="117" t="s">
        <v>23</v>
      </c>
      <c r="D10" s="118"/>
      <c r="E10" s="118"/>
      <c r="F10" s="118"/>
      <c r="G10" s="119"/>
    </row>
    <row r="11" spans="2:11" ht="18" thickTop="1" x14ac:dyDescent="0.3">
      <c r="B11" s="11" t="s">
        <v>24</v>
      </c>
      <c r="C11" s="73" t="s">
        <v>33</v>
      </c>
      <c r="D11" s="78" t="s">
        <v>153</v>
      </c>
      <c r="E11" s="80" t="s">
        <v>16</v>
      </c>
      <c r="F11" s="76" t="s">
        <v>63</v>
      </c>
      <c r="G11" s="82" t="s">
        <v>156</v>
      </c>
    </row>
    <row r="12" spans="2:11" ht="18" thickBot="1" x14ac:dyDescent="0.35">
      <c r="B12" s="3" t="s">
        <v>142</v>
      </c>
      <c r="C12" s="74" t="s">
        <v>11</v>
      </c>
      <c r="D12" s="79" t="s">
        <v>154</v>
      </c>
      <c r="E12" s="81" t="s">
        <v>89</v>
      </c>
      <c r="F12" s="77" t="s">
        <v>9</v>
      </c>
      <c r="G12" s="83" t="s">
        <v>157</v>
      </c>
    </row>
    <row r="13" spans="2:11" ht="18" thickTop="1" x14ac:dyDescent="0.3">
      <c r="B13" s="11" t="s">
        <v>30</v>
      </c>
      <c r="C13" s="73" t="s">
        <v>33</v>
      </c>
      <c r="D13" s="78" t="s">
        <v>153</v>
      </c>
      <c r="E13" s="135" t="s">
        <v>155</v>
      </c>
      <c r="F13" s="76" t="s">
        <v>63</v>
      </c>
      <c r="G13" s="72" t="s">
        <v>96</v>
      </c>
    </row>
    <row r="14" spans="2:11" ht="18" thickBot="1" x14ac:dyDescent="0.35">
      <c r="B14" s="3" t="s">
        <v>143</v>
      </c>
      <c r="C14" s="74" t="s">
        <v>11</v>
      </c>
      <c r="D14" s="79" t="s">
        <v>154</v>
      </c>
      <c r="E14" s="136"/>
      <c r="F14" s="77" t="s">
        <v>9</v>
      </c>
      <c r="G14" s="75" t="s">
        <v>107</v>
      </c>
    </row>
    <row r="15" spans="2:11" ht="18" thickTop="1" x14ac:dyDescent="0.3">
      <c r="B15" s="11" t="s">
        <v>39</v>
      </c>
      <c r="C15" s="133" t="s">
        <v>152</v>
      </c>
      <c r="D15" s="133" t="s">
        <v>152</v>
      </c>
      <c r="E15" s="133" t="s">
        <v>152</v>
      </c>
      <c r="F15" s="133" t="s">
        <v>152</v>
      </c>
      <c r="G15" s="133" t="s">
        <v>152</v>
      </c>
    </row>
    <row r="16" spans="2:11" ht="18" thickBot="1" x14ac:dyDescent="0.35">
      <c r="B16" s="3" t="s">
        <v>144</v>
      </c>
      <c r="C16" s="134"/>
      <c r="D16" s="134"/>
      <c r="E16" s="134"/>
      <c r="F16" s="134"/>
      <c r="G16" s="134"/>
    </row>
    <row r="17" spans="2:7" ht="18.600000000000001" thickTop="1" thickBot="1" x14ac:dyDescent="0.35">
      <c r="B17" s="5" t="s">
        <v>145</v>
      </c>
      <c r="C17" s="117" t="s">
        <v>160</v>
      </c>
      <c r="D17" s="118"/>
      <c r="E17" s="118"/>
      <c r="F17" s="118"/>
      <c r="G17" s="119"/>
    </row>
    <row r="18" spans="2:7" ht="18" thickTop="1" x14ac:dyDescent="0.3">
      <c r="B18" s="11" t="s">
        <v>5</v>
      </c>
      <c r="C18" s="72" t="s">
        <v>158</v>
      </c>
      <c r="D18" s="76" t="s">
        <v>63</v>
      </c>
      <c r="E18" s="72" t="s">
        <v>159</v>
      </c>
      <c r="F18" s="72" t="s">
        <v>65</v>
      </c>
      <c r="G18" s="137" t="s">
        <v>165</v>
      </c>
    </row>
    <row r="19" spans="2:7" ht="18" thickBot="1" x14ac:dyDescent="0.35">
      <c r="B19" s="3" t="s">
        <v>146</v>
      </c>
      <c r="C19" s="75" t="s">
        <v>79</v>
      </c>
      <c r="D19" s="77" t="s">
        <v>9</v>
      </c>
      <c r="E19" s="75" t="s">
        <v>48</v>
      </c>
      <c r="F19" s="75" t="s">
        <v>48</v>
      </c>
      <c r="G19" s="138"/>
    </row>
    <row r="20" spans="2:7" ht="18" thickTop="1" x14ac:dyDescent="0.3">
      <c r="B20" s="11" t="s">
        <v>12</v>
      </c>
      <c r="C20" s="135" t="s">
        <v>155</v>
      </c>
      <c r="D20" s="72" t="s">
        <v>96</v>
      </c>
      <c r="E20" s="78" t="s">
        <v>19</v>
      </c>
      <c r="F20" s="72" t="s">
        <v>62</v>
      </c>
      <c r="G20" s="137" t="s">
        <v>165</v>
      </c>
    </row>
    <row r="21" spans="2:7" ht="18" thickBot="1" x14ac:dyDescent="0.35">
      <c r="B21" s="3" t="s">
        <v>147</v>
      </c>
      <c r="C21" s="136"/>
      <c r="D21" s="75" t="s">
        <v>107</v>
      </c>
      <c r="E21" s="79" t="s">
        <v>28</v>
      </c>
      <c r="F21" s="75" t="s">
        <v>90</v>
      </c>
      <c r="G21" s="138"/>
    </row>
    <row r="22" spans="2:7" ht="18.600000000000001" thickTop="1" thickBot="1" x14ac:dyDescent="0.35">
      <c r="B22" s="5" t="s">
        <v>148</v>
      </c>
      <c r="C22" s="117" t="s">
        <v>23</v>
      </c>
      <c r="D22" s="118"/>
      <c r="E22" s="118"/>
      <c r="F22" s="118"/>
      <c r="G22" s="119"/>
    </row>
    <row r="23" spans="2:7" ht="18" thickTop="1" x14ac:dyDescent="0.3">
      <c r="B23" s="11" t="s">
        <v>18</v>
      </c>
      <c r="C23" s="135" t="s">
        <v>155</v>
      </c>
      <c r="D23" s="78" t="s">
        <v>163</v>
      </c>
      <c r="E23" s="78" t="s">
        <v>19</v>
      </c>
      <c r="F23" s="76" t="s">
        <v>64</v>
      </c>
      <c r="G23" s="137" t="s">
        <v>165</v>
      </c>
    </row>
    <row r="24" spans="2:7" ht="18" thickBot="1" x14ac:dyDescent="0.35">
      <c r="B24" s="3" t="s">
        <v>149</v>
      </c>
      <c r="C24" s="136"/>
      <c r="D24" s="79" t="s">
        <v>129</v>
      </c>
      <c r="E24" s="79" t="s">
        <v>28</v>
      </c>
      <c r="F24" s="77" t="s">
        <v>21</v>
      </c>
      <c r="G24" s="138"/>
    </row>
    <row r="25" spans="2:7" ht="18" thickTop="1" x14ac:dyDescent="0.3">
      <c r="B25" s="11" t="s">
        <v>24</v>
      </c>
      <c r="C25" s="78" t="s">
        <v>161</v>
      </c>
      <c r="D25" s="78" t="s">
        <v>163</v>
      </c>
      <c r="E25" s="73" t="s">
        <v>164</v>
      </c>
      <c r="F25" s="76" t="s">
        <v>64</v>
      </c>
      <c r="G25" s="137" t="s">
        <v>165</v>
      </c>
    </row>
    <row r="26" spans="2:7" ht="18" thickBot="1" x14ac:dyDescent="0.35">
      <c r="B26" s="3" t="s">
        <v>150</v>
      </c>
      <c r="C26" s="79" t="s">
        <v>162</v>
      </c>
      <c r="D26" s="79" t="s">
        <v>129</v>
      </c>
      <c r="E26" s="74" t="s">
        <v>47</v>
      </c>
      <c r="F26" s="77" t="s">
        <v>21</v>
      </c>
      <c r="G26" s="138"/>
    </row>
    <row r="27" spans="2:7" ht="18" thickTop="1" x14ac:dyDescent="0.3">
      <c r="B27" s="11" t="s">
        <v>30</v>
      </c>
      <c r="C27" s="78" t="s">
        <v>161</v>
      </c>
      <c r="D27" s="68"/>
      <c r="E27" s="68"/>
      <c r="F27" s="68"/>
      <c r="G27" s="68"/>
    </row>
    <row r="28" spans="2:7" ht="18" thickBot="1" x14ac:dyDescent="0.35">
      <c r="B28" s="3" t="s">
        <v>151</v>
      </c>
      <c r="C28" s="79" t="s">
        <v>162</v>
      </c>
      <c r="D28" s="69"/>
      <c r="E28" s="69"/>
      <c r="F28" s="69"/>
      <c r="G28" s="69"/>
    </row>
    <row r="29" spans="2:7" ht="15" thickTop="1" x14ac:dyDescent="0.3"/>
  </sheetData>
  <mergeCells count="20">
    <mergeCell ref="G25:G26"/>
    <mergeCell ref="C17:G17"/>
    <mergeCell ref="G18:G19"/>
    <mergeCell ref="C20:C21"/>
    <mergeCell ref="G20:G21"/>
    <mergeCell ref="C22:G22"/>
    <mergeCell ref="C23:C24"/>
    <mergeCell ref="G23:G24"/>
    <mergeCell ref="G15:G16"/>
    <mergeCell ref="B2:G2"/>
    <mergeCell ref="C8:C9"/>
    <mergeCell ref="E8:E9"/>
    <mergeCell ref="F8:F9"/>
    <mergeCell ref="G8:G9"/>
    <mergeCell ref="C10:G10"/>
    <mergeCell ref="E13:E14"/>
    <mergeCell ref="C15:C16"/>
    <mergeCell ref="D15:D16"/>
    <mergeCell ref="E15:E16"/>
    <mergeCell ref="F15:F16"/>
  </mergeCells>
  <pageMargins left="0.51181102362204722" right="0.51181102362204722" top="0.78740157480314965" bottom="0.78740157480314965" header="0.31496062992125984" footer="0.31496062992125984"/>
  <pageSetup paperSize="9" scale="70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3DFFE7-76FF-4985-AF07-E43432C24DB1}">
  <sheetPr codeName="Planilha3">
    <pageSetUpPr fitToPage="1"/>
  </sheetPr>
  <dimension ref="B1:N97"/>
  <sheetViews>
    <sheetView tabSelected="1" topLeftCell="A23" zoomScale="86" zoomScaleNormal="86" workbookViewId="0">
      <selection activeCell="I27" sqref="I27"/>
    </sheetView>
  </sheetViews>
  <sheetFormatPr defaultRowHeight="14.4" x14ac:dyDescent="0.3"/>
  <cols>
    <col min="2" max="2" width="16.33203125" customWidth="1"/>
    <col min="3" max="7" width="29.77734375" customWidth="1"/>
    <col min="9" max="9" width="16.33203125" customWidth="1"/>
    <col min="10" max="14" width="29.77734375" customWidth="1"/>
  </cols>
  <sheetData>
    <row r="1" spans="2:10" ht="15" thickBot="1" x14ac:dyDescent="0.35"/>
    <row r="2" spans="2:10" ht="22.2" thickTop="1" thickBot="1" x14ac:dyDescent="0.35">
      <c r="B2" s="114" t="s">
        <v>58</v>
      </c>
      <c r="C2" s="115"/>
      <c r="D2" s="115"/>
      <c r="E2" s="115"/>
      <c r="F2" s="115"/>
      <c r="G2" s="116"/>
    </row>
    <row r="3" spans="2:10" ht="24" customHeight="1" thickTop="1" thickBot="1" x14ac:dyDescent="0.35">
      <c r="B3" s="1"/>
      <c r="C3" s="2" t="s">
        <v>0</v>
      </c>
      <c r="D3" s="2" t="s">
        <v>1</v>
      </c>
      <c r="E3" s="2" t="s">
        <v>2</v>
      </c>
      <c r="F3" s="2" t="s">
        <v>3</v>
      </c>
      <c r="G3" s="2" t="s">
        <v>4</v>
      </c>
    </row>
    <row r="4" spans="2:10" ht="19.5" customHeight="1" thickTop="1" thickBot="1" x14ac:dyDescent="0.35">
      <c r="B4" s="11" t="s">
        <v>5</v>
      </c>
      <c r="C4" s="6" t="s">
        <v>6</v>
      </c>
      <c r="D4" s="6" t="s">
        <v>7</v>
      </c>
      <c r="E4" s="6" t="s">
        <v>19</v>
      </c>
      <c r="F4" s="6" t="s">
        <v>6</v>
      </c>
      <c r="G4" s="6" t="s">
        <v>7</v>
      </c>
    </row>
    <row r="5" spans="2:10" ht="18" thickBot="1" x14ac:dyDescent="0.35">
      <c r="B5" s="3" t="s">
        <v>68</v>
      </c>
      <c r="C5" s="10" t="s">
        <v>8</v>
      </c>
      <c r="D5" s="4" t="s">
        <v>9</v>
      </c>
      <c r="E5" s="4" t="s">
        <v>10</v>
      </c>
      <c r="F5" s="10" t="s">
        <v>8</v>
      </c>
      <c r="G5" s="4" t="s">
        <v>9</v>
      </c>
    </row>
    <row r="6" spans="2:10" ht="18" thickTop="1" x14ac:dyDescent="0.3">
      <c r="B6" s="11" t="s">
        <v>12</v>
      </c>
      <c r="C6" s="6" t="s">
        <v>13</v>
      </c>
      <c r="D6" s="6" t="s">
        <v>78</v>
      </c>
      <c r="E6" s="6" t="s">
        <v>25</v>
      </c>
      <c r="F6" s="6" t="s">
        <v>33</v>
      </c>
      <c r="G6" s="13" t="s">
        <v>75</v>
      </c>
      <c r="J6" s="6" t="s">
        <v>14</v>
      </c>
    </row>
    <row r="7" spans="2:10" ht="18" thickBot="1" x14ac:dyDescent="0.35">
      <c r="B7" s="3" t="s">
        <v>69</v>
      </c>
      <c r="C7" s="4" t="s">
        <v>17</v>
      </c>
      <c r="D7" s="4" t="s">
        <v>27</v>
      </c>
      <c r="E7" s="4" t="s">
        <v>28</v>
      </c>
      <c r="F7" s="4" t="s">
        <v>37</v>
      </c>
      <c r="G7" s="4" t="s">
        <v>11</v>
      </c>
      <c r="J7" s="4" t="s">
        <v>52</v>
      </c>
    </row>
    <row r="8" spans="2:10" ht="18" thickTop="1" x14ac:dyDescent="0.3">
      <c r="B8" s="11" t="s">
        <v>18</v>
      </c>
      <c r="C8" s="6" t="s">
        <v>19</v>
      </c>
      <c r="D8" s="6" t="s">
        <v>54</v>
      </c>
      <c r="E8" s="6" t="s">
        <v>54</v>
      </c>
      <c r="F8" s="6" t="s">
        <v>54</v>
      </c>
      <c r="G8" s="6" t="s">
        <v>54</v>
      </c>
    </row>
    <row r="9" spans="2:10" ht="18" thickBot="1" x14ac:dyDescent="0.35">
      <c r="B9" s="3" t="s">
        <v>70</v>
      </c>
      <c r="C9" s="4" t="s">
        <v>10</v>
      </c>
      <c r="D9" s="4" t="s">
        <v>53</v>
      </c>
      <c r="E9" s="4" t="s">
        <v>53</v>
      </c>
      <c r="F9" s="4" t="s">
        <v>53</v>
      </c>
      <c r="G9" s="4" t="s">
        <v>53</v>
      </c>
      <c r="J9" s="6" t="s">
        <v>43</v>
      </c>
    </row>
    <row r="10" spans="2:10" ht="18.600000000000001" thickTop="1" thickBot="1" x14ac:dyDescent="0.35">
      <c r="B10" s="5" t="s">
        <v>71</v>
      </c>
      <c r="C10" s="117" t="s">
        <v>23</v>
      </c>
      <c r="D10" s="118"/>
      <c r="E10" s="118"/>
      <c r="F10" s="118"/>
      <c r="G10" s="119"/>
      <c r="J10" s="4" t="s">
        <v>48</v>
      </c>
    </row>
    <row r="11" spans="2:10" ht="18" thickTop="1" x14ac:dyDescent="0.3">
      <c r="B11" s="11" t="s">
        <v>24</v>
      </c>
      <c r="C11" s="6" t="s">
        <v>15</v>
      </c>
      <c r="D11" s="6" t="s">
        <v>14</v>
      </c>
      <c r="E11" s="6" t="s">
        <v>32</v>
      </c>
      <c r="F11" s="6" t="s">
        <v>43</v>
      </c>
      <c r="G11" s="6" t="s">
        <v>34</v>
      </c>
    </row>
    <row r="12" spans="2:10" ht="18" customHeight="1" thickBot="1" x14ac:dyDescent="0.35">
      <c r="B12" s="3" t="s">
        <v>72</v>
      </c>
      <c r="C12" s="4" t="s">
        <v>76</v>
      </c>
      <c r="D12" s="4" t="s">
        <v>77</v>
      </c>
      <c r="E12" s="4" t="s">
        <v>36</v>
      </c>
      <c r="F12" s="4" t="s">
        <v>48</v>
      </c>
      <c r="G12" s="4" t="s">
        <v>38</v>
      </c>
    </row>
    <row r="13" spans="2:10" ht="18.600000000000001" thickTop="1" thickBot="1" x14ac:dyDescent="0.35">
      <c r="B13" s="11" t="s">
        <v>30</v>
      </c>
      <c r="C13" s="6" t="s">
        <v>31</v>
      </c>
      <c r="D13" s="6" t="s">
        <v>57</v>
      </c>
      <c r="E13" s="6" t="s">
        <v>42</v>
      </c>
      <c r="F13" s="6" t="s">
        <v>20</v>
      </c>
      <c r="G13" s="6" t="s">
        <v>44</v>
      </c>
      <c r="J13" s="6" t="s">
        <v>34</v>
      </c>
    </row>
    <row r="14" spans="2:10" ht="18" thickBot="1" x14ac:dyDescent="0.35">
      <c r="B14" s="3" t="s">
        <v>73</v>
      </c>
      <c r="C14" s="4" t="s">
        <v>35</v>
      </c>
      <c r="D14" s="10" t="s">
        <v>35</v>
      </c>
      <c r="E14" s="4" t="s">
        <v>47</v>
      </c>
      <c r="F14" s="4" t="s">
        <v>22</v>
      </c>
      <c r="G14" s="10" t="s">
        <v>49</v>
      </c>
      <c r="J14" s="4" t="s">
        <v>38</v>
      </c>
    </row>
    <row r="15" spans="2:10" ht="18" thickTop="1" x14ac:dyDescent="0.3">
      <c r="B15" s="11" t="s">
        <v>39</v>
      </c>
      <c r="C15" s="6" t="s">
        <v>78</v>
      </c>
      <c r="D15" s="6" t="s">
        <v>41</v>
      </c>
      <c r="E15" s="6" t="s">
        <v>40</v>
      </c>
      <c r="F15" s="6" t="s">
        <v>26</v>
      </c>
      <c r="G15" s="6" t="s">
        <v>55</v>
      </c>
    </row>
    <row r="16" spans="2:10" ht="18" thickBot="1" x14ac:dyDescent="0.35">
      <c r="B16" s="3" t="s">
        <v>74</v>
      </c>
      <c r="C16" s="4" t="s">
        <v>27</v>
      </c>
      <c r="D16" s="4" t="s">
        <v>46</v>
      </c>
      <c r="E16" s="4" t="s">
        <v>45</v>
      </c>
      <c r="F16" s="4" t="s">
        <v>29</v>
      </c>
      <c r="G16" s="4" t="s">
        <v>79</v>
      </c>
    </row>
    <row r="17" spans="2:14" ht="18.600000000000001" thickTop="1" thickBot="1" x14ac:dyDescent="0.35">
      <c r="B17" s="117" t="s">
        <v>50</v>
      </c>
      <c r="C17" s="118"/>
      <c r="D17" s="118"/>
      <c r="E17" s="118"/>
      <c r="F17" s="118"/>
      <c r="G17" s="119"/>
    </row>
    <row r="18" spans="2:14" ht="18" thickTop="1" x14ac:dyDescent="0.35">
      <c r="B18" s="21"/>
      <c r="C18" s="7" t="s">
        <v>59</v>
      </c>
      <c r="D18" s="7" t="s">
        <v>59</v>
      </c>
      <c r="E18" s="7" t="s">
        <v>51</v>
      </c>
      <c r="F18" s="7" t="s">
        <v>83</v>
      </c>
      <c r="G18" s="18"/>
    </row>
    <row r="19" spans="2:14" ht="20.25" customHeight="1" thickBot="1" x14ac:dyDescent="0.4">
      <c r="B19" s="22"/>
      <c r="C19" s="8" t="s">
        <v>85</v>
      </c>
      <c r="D19" s="8" t="s">
        <v>82</v>
      </c>
      <c r="E19" s="8" t="s">
        <v>60</v>
      </c>
      <c r="F19" s="8" t="s">
        <v>84</v>
      </c>
      <c r="G19" s="20"/>
    </row>
    <row r="20" spans="2:14" ht="18.600000000000001" thickTop="1" thickBot="1" x14ac:dyDescent="0.4">
      <c r="B20" s="22"/>
      <c r="C20" s="9" t="s">
        <v>46</v>
      </c>
      <c r="D20" s="9" t="s">
        <v>77</v>
      </c>
      <c r="E20" s="4" t="s">
        <v>28</v>
      </c>
      <c r="F20" s="4" t="s">
        <v>79</v>
      </c>
      <c r="G20" s="19"/>
    </row>
    <row r="21" spans="2:14" ht="18" thickTop="1" x14ac:dyDescent="0.35">
      <c r="B21" s="22"/>
      <c r="C21" s="22"/>
      <c r="D21" s="17"/>
      <c r="E21" s="17"/>
      <c r="F21" s="17"/>
      <c r="G21" s="14"/>
    </row>
    <row r="22" spans="2:14" ht="17.399999999999999" x14ac:dyDescent="0.35">
      <c r="B22" s="22"/>
      <c r="C22" s="22"/>
      <c r="D22" s="15"/>
      <c r="E22" s="15"/>
      <c r="F22" s="15"/>
      <c r="G22" s="15"/>
    </row>
    <row r="23" spans="2:14" ht="17.399999999999999" x14ac:dyDescent="0.35">
      <c r="B23" s="22"/>
      <c r="C23" s="22" t="s">
        <v>100</v>
      </c>
      <c r="D23" s="16" t="s">
        <v>255</v>
      </c>
      <c r="E23" s="16"/>
      <c r="F23" s="16"/>
      <c r="G23" s="16"/>
    </row>
    <row r="25" spans="2:14" ht="15" thickBot="1" x14ac:dyDescent="0.35"/>
    <row r="26" spans="2:14" ht="22.2" thickTop="1" thickBot="1" x14ac:dyDescent="0.35">
      <c r="B26" s="114" t="str">
        <f>_xlfn.CONCAT("HORÁRIO TURMA ENEM - 18 A 21/07 - BASE")</f>
        <v>HORÁRIO TURMA ENEM - 18 A 21/07 - BASE</v>
      </c>
      <c r="C26" s="115"/>
      <c r="D26" s="115"/>
      <c r="E26" s="115"/>
      <c r="F26" s="115"/>
      <c r="G26" s="116"/>
      <c r="I26" s="114" t="str">
        <f>_xlfn.CONCAT("HORÁRIO TURMA ENEM - 24 A 28/07 - BASE")</f>
        <v>HORÁRIO TURMA ENEM - 24 A 28/07 - BASE</v>
      </c>
      <c r="J26" s="115"/>
      <c r="K26" s="115"/>
      <c r="L26" s="115"/>
      <c r="M26" s="115"/>
      <c r="N26" s="116"/>
    </row>
    <row r="27" spans="2:14" ht="18.600000000000001" thickTop="1" thickBot="1" x14ac:dyDescent="0.35">
      <c r="B27" s="1"/>
      <c r="C27" s="2" t="s">
        <v>0</v>
      </c>
      <c r="D27" s="2" t="s">
        <v>1</v>
      </c>
      <c r="E27" s="2" t="s">
        <v>2</v>
      </c>
      <c r="F27" s="2" t="s">
        <v>3</v>
      </c>
      <c r="G27" s="2" t="s">
        <v>4</v>
      </c>
      <c r="I27" s="1"/>
      <c r="J27" s="2" t="s">
        <v>0</v>
      </c>
      <c r="K27" s="2" t="s">
        <v>1</v>
      </c>
      <c r="L27" s="2" t="s">
        <v>2</v>
      </c>
      <c r="M27" s="2" t="s">
        <v>3</v>
      </c>
      <c r="N27" s="2" t="s">
        <v>4</v>
      </c>
    </row>
    <row r="28" spans="2:14" ht="18" thickTop="1" x14ac:dyDescent="0.3">
      <c r="B28" s="11" t="s">
        <v>5</v>
      </c>
      <c r="C28" s="205"/>
      <c r="D28" s="6" t="s">
        <v>265</v>
      </c>
      <c r="E28" s="6" t="s">
        <v>25</v>
      </c>
      <c r="F28" s="6" t="s">
        <v>25</v>
      </c>
      <c r="G28" s="6" t="s">
        <v>270</v>
      </c>
      <c r="I28" s="11" t="s">
        <v>5</v>
      </c>
      <c r="J28" s="6" t="s">
        <v>263</v>
      </c>
      <c r="K28" s="6" t="s">
        <v>265</v>
      </c>
      <c r="L28" s="6" t="s">
        <v>265</v>
      </c>
      <c r="M28" s="6" t="s">
        <v>276</v>
      </c>
      <c r="N28" s="6" t="s">
        <v>319</v>
      </c>
    </row>
    <row r="29" spans="2:14" ht="18" thickBot="1" x14ac:dyDescent="0.35">
      <c r="B29" s="3" t="s">
        <v>314</v>
      </c>
      <c r="C29" s="206"/>
      <c r="D29" s="4" t="s">
        <v>256</v>
      </c>
      <c r="E29" s="4" t="s">
        <v>28</v>
      </c>
      <c r="F29" s="4" t="s">
        <v>28</v>
      </c>
      <c r="G29" s="4" t="s">
        <v>79</v>
      </c>
      <c r="I29" s="3" t="s">
        <v>314</v>
      </c>
      <c r="J29" s="4" t="s">
        <v>291</v>
      </c>
      <c r="K29" s="4" t="s">
        <v>256</v>
      </c>
      <c r="L29" s="4" t="s">
        <v>256</v>
      </c>
      <c r="M29" s="4" t="s">
        <v>48</v>
      </c>
      <c r="N29" s="4" t="s">
        <v>8</v>
      </c>
    </row>
    <row r="30" spans="2:14" ht="18" thickTop="1" x14ac:dyDescent="0.3">
      <c r="B30" s="11" t="s">
        <v>12</v>
      </c>
      <c r="C30" s="205"/>
      <c r="D30" s="6" t="s">
        <v>179</v>
      </c>
      <c r="E30" s="6" t="s">
        <v>265</v>
      </c>
      <c r="F30" s="6" t="s">
        <v>270</v>
      </c>
      <c r="G30" s="6" t="s">
        <v>267</v>
      </c>
      <c r="I30" s="11" t="s">
        <v>12</v>
      </c>
      <c r="J30" s="6" t="s">
        <v>270</v>
      </c>
      <c r="K30" s="6" t="s">
        <v>319</v>
      </c>
      <c r="L30" s="6" t="s">
        <v>276</v>
      </c>
      <c r="M30" s="6" t="s">
        <v>319</v>
      </c>
      <c r="N30" s="6" t="s">
        <v>280</v>
      </c>
    </row>
    <row r="31" spans="2:14" ht="18" thickBot="1" x14ac:dyDescent="0.35">
      <c r="B31" s="3" t="s">
        <v>315</v>
      </c>
      <c r="C31" s="206"/>
      <c r="D31" s="4" t="s">
        <v>293</v>
      </c>
      <c r="E31" s="4" t="s">
        <v>256</v>
      </c>
      <c r="F31" s="4" t="s">
        <v>79</v>
      </c>
      <c r="G31" s="4" t="s">
        <v>88</v>
      </c>
      <c r="I31" s="3" t="s">
        <v>315</v>
      </c>
      <c r="J31" s="4" t="s">
        <v>79</v>
      </c>
      <c r="K31" s="4" t="s">
        <v>8</v>
      </c>
      <c r="L31" s="4" t="s">
        <v>48</v>
      </c>
      <c r="M31" s="4" t="s">
        <v>8</v>
      </c>
      <c r="N31" s="4" t="s">
        <v>38</v>
      </c>
    </row>
    <row r="32" spans="2:14" ht="18.600000000000001" thickTop="1" thickBot="1" x14ac:dyDescent="0.35">
      <c r="B32" s="5" t="s">
        <v>316</v>
      </c>
      <c r="C32" s="117" t="s">
        <v>23</v>
      </c>
      <c r="D32" s="118"/>
      <c r="E32" s="118"/>
      <c r="F32" s="118"/>
      <c r="G32" s="119"/>
      <c r="I32" s="5" t="s">
        <v>316</v>
      </c>
      <c r="J32" s="117" t="s">
        <v>23</v>
      </c>
      <c r="K32" s="118"/>
      <c r="L32" s="118"/>
      <c r="M32" s="118"/>
      <c r="N32" s="119"/>
    </row>
    <row r="33" spans="2:14" ht="18" thickTop="1" x14ac:dyDescent="0.3">
      <c r="B33" s="11" t="s">
        <v>18</v>
      </c>
      <c r="C33" s="205"/>
      <c r="D33" s="6" t="s">
        <v>266</v>
      </c>
      <c r="E33" s="6" t="s">
        <v>273</v>
      </c>
      <c r="F33" s="6" t="s">
        <v>273</v>
      </c>
      <c r="G33" s="6" t="s">
        <v>277</v>
      </c>
      <c r="I33" s="11" t="s">
        <v>18</v>
      </c>
      <c r="J33" s="6" t="s">
        <v>260</v>
      </c>
      <c r="K33" s="6" t="s">
        <v>272</v>
      </c>
      <c r="L33" s="6" t="s">
        <v>272</v>
      </c>
      <c r="M33" s="6" t="s">
        <v>280</v>
      </c>
      <c r="N33" s="6" t="s">
        <v>40</v>
      </c>
    </row>
    <row r="34" spans="2:14" ht="18" thickBot="1" x14ac:dyDescent="0.35">
      <c r="B34" s="3" t="s">
        <v>317</v>
      </c>
      <c r="C34" s="206"/>
      <c r="D34" s="4" t="s">
        <v>95</v>
      </c>
      <c r="E34" s="4" t="s">
        <v>36</v>
      </c>
      <c r="F34" s="4" t="s">
        <v>36</v>
      </c>
      <c r="G34" s="4" t="s">
        <v>222</v>
      </c>
      <c r="I34" s="3" t="s">
        <v>317</v>
      </c>
      <c r="J34" s="4" t="s">
        <v>17</v>
      </c>
      <c r="K34" s="4" t="s">
        <v>67</v>
      </c>
      <c r="L34" s="4" t="s">
        <v>67</v>
      </c>
      <c r="M34" s="4" t="s">
        <v>38</v>
      </c>
      <c r="N34" s="4" t="s">
        <v>49</v>
      </c>
    </row>
    <row r="35" spans="2:14" ht="18" thickTop="1" x14ac:dyDescent="0.3">
      <c r="B35" s="11" t="s">
        <v>24</v>
      </c>
      <c r="C35" s="205"/>
      <c r="D35" s="6" t="s">
        <v>278</v>
      </c>
      <c r="E35" s="6" t="s">
        <v>278</v>
      </c>
      <c r="F35" s="6" t="s">
        <v>267</v>
      </c>
      <c r="G35" s="6" t="s">
        <v>179</v>
      </c>
      <c r="I35" s="11" t="s">
        <v>24</v>
      </c>
      <c r="J35" s="6" t="s">
        <v>319</v>
      </c>
      <c r="K35" s="6" t="s">
        <v>260</v>
      </c>
      <c r="L35" s="6" t="s">
        <v>319</v>
      </c>
      <c r="M35" s="6" t="s">
        <v>40</v>
      </c>
      <c r="N35" s="6" t="s">
        <v>267</v>
      </c>
    </row>
    <row r="36" spans="2:14" ht="18" thickBot="1" x14ac:dyDescent="0.35">
      <c r="B36" s="3" t="s">
        <v>318</v>
      </c>
      <c r="C36" s="206"/>
      <c r="D36" s="4" t="s">
        <v>97</v>
      </c>
      <c r="E36" s="4" t="s">
        <v>97</v>
      </c>
      <c r="F36" s="4" t="s">
        <v>88</v>
      </c>
      <c r="G36" s="4" t="s">
        <v>293</v>
      </c>
      <c r="I36" s="3" t="s">
        <v>318</v>
      </c>
      <c r="J36" s="4" t="s">
        <v>8</v>
      </c>
      <c r="K36" s="4" t="s">
        <v>17</v>
      </c>
      <c r="L36" s="4" t="s">
        <v>8</v>
      </c>
      <c r="M36" s="4" t="s">
        <v>49</v>
      </c>
      <c r="N36" s="4" t="s">
        <v>88</v>
      </c>
    </row>
    <row r="37" spans="2:14" ht="15.6" thickTop="1" thickBot="1" x14ac:dyDescent="0.35"/>
    <row r="38" spans="2:14" ht="22.2" thickTop="1" thickBot="1" x14ac:dyDescent="0.35">
      <c r="B38" s="114" t="str">
        <f>_xlfn.CONCAT("HORÁRIO TURMA ENEM - TURMA 01")</f>
        <v>HORÁRIO TURMA ENEM - TURMA 01</v>
      </c>
      <c r="C38" s="115"/>
      <c r="D38" s="115"/>
      <c r="E38" s="115"/>
      <c r="F38" s="115"/>
      <c r="G38" s="116"/>
    </row>
    <row r="39" spans="2:14" ht="18.600000000000001" thickTop="1" thickBot="1" x14ac:dyDescent="0.35">
      <c r="B39" s="1"/>
      <c r="C39" s="2" t="s">
        <v>0</v>
      </c>
      <c r="D39" s="2" t="s">
        <v>1</v>
      </c>
      <c r="E39" s="2" t="s">
        <v>2</v>
      </c>
      <c r="F39" s="2" t="s">
        <v>3</v>
      </c>
      <c r="G39" s="2" t="s">
        <v>4</v>
      </c>
    </row>
    <row r="40" spans="2:14" ht="18" thickTop="1" x14ac:dyDescent="0.3">
      <c r="B40" s="11" t="s">
        <v>5</v>
      </c>
      <c r="C40" s="6" t="s">
        <v>261</v>
      </c>
      <c r="D40" s="6" t="s">
        <v>267</v>
      </c>
      <c r="E40" s="6" t="s">
        <v>274</v>
      </c>
      <c r="F40" s="6" t="s">
        <v>275</v>
      </c>
      <c r="G40" s="6" t="s">
        <v>265</v>
      </c>
    </row>
    <row r="41" spans="2:14" ht="18" thickBot="1" x14ac:dyDescent="0.35">
      <c r="B41" s="3" t="s">
        <v>314</v>
      </c>
      <c r="C41" s="4" t="s">
        <v>8</v>
      </c>
      <c r="D41" s="4" t="s">
        <v>88</v>
      </c>
      <c r="E41" s="4" t="s">
        <v>196</v>
      </c>
      <c r="F41" s="4" t="s">
        <v>8</v>
      </c>
      <c r="G41" s="4" t="s">
        <v>256</v>
      </c>
    </row>
    <row r="42" spans="2:14" ht="18" thickTop="1" x14ac:dyDescent="0.3">
      <c r="B42" s="11" t="s">
        <v>12</v>
      </c>
      <c r="C42" s="6" t="s">
        <v>260</v>
      </c>
      <c r="D42" s="6" t="s">
        <v>268</v>
      </c>
      <c r="E42" s="6" t="s">
        <v>271</v>
      </c>
      <c r="F42" s="6" t="s">
        <v>278</v>
      </c>
      <c r="G42" s="6" t="s">
        <v>268</v>
      </c>
    </row>
    <row r="43" spans="2:14" ht="18" thickBot="1" x14ac:dyDescent="0.35">
      <c r="B43" s="3" t="s">
        <v>315</v>
      </c>
      <c r="C43" s="4" t="s">
        <v>17</v>
      </c>
      <c r="D43" s="4" t="s">
        <v>9</v>
      </c>
      <c r="E43" s="4" t="s">
        <v>47</v>
      </c>
      <c r="F43" s="4" t="s">
        <v>97</v>
      </c>
      <c r="G43" s="4" t="s">
        <v>9</v>
      </c>
      <c r="I43" s="6"/>
    </row>
    <row r="44" spans="2:14" ht="18.600000000000001" thickTop="1" thickBot="1" x14ac:dyDescent="0.35">
      <c r="B44" s="5" t="s">
        <v>316</v>
      </c>
      <c r="C44" s="117" t="s">
        <v>23</v>
      </c>
      <c r="D44" s="118"/>
      <c r="E44" s="118"/>
      <c r="F44" s="118"/>
      <c r="G44" s="119"/>
      <c r="I44" s="10"/>
    </row>
    <row r="45" spans="2:14" ht="14.4" customHeight="1" thickTop="1" x14ac:dyDescent="0.3">
      <c r="B45" s="11" t="s">
        <v>18</v>
      </c>
      <c r="C45" s="6" t="s">
        <v>263</v>
      </c>
      <c r="D45" s="6" t="s">
        <v>270</v>
      </c>
      <c r="E45" s="6" t="s">
        <v>272</v>
      </c>
      <c r="F45" s="6" t="s">
        <v>276</v>
      </c>
      <c r="G45" s="6" t="s">
        <v>279</v>
      </c>
    </row>
    <row r="46" spans="2:14" ht="18" thickBot="1" x14ac:dyDescent="0.35">
      <c r="B46" s="3" t="s">
        <v>317</v>
      </c>
      <c r="C46" s="4" t="s">
        <v>291</v>
      </c>
      <c r="D46" s="4" t="s">
        <v>79</v>
      </c>
      <c r="E46" s="4" t="s">
        <v>67</v>
      </c>
      <c r="F46" s="4" t="s">
        <v>48</v>
      </c>
      <c r="G46" s="4" t="s">
        <v>11</v>
      </c>
    </row>
    <row r="47" spans="2:14" ht="18" thickTop="1" x14ac:dyDescent="0.3">
      <c r="B47" s="11" t="s">
        <v>24</v>
      </c>
      <c r="C47" s="6" t="s">
        <v>19</v>
      </c>
      <c r="D47" s="6" t="s">
        <v>101</v>
      </c>
      <c r="E47" s="6" t="s">
        <v>273</v>
      </c>
      <c r="F47" s="6" t="s">
        <v>262</v>
      </c>
      <c r="G47" s="6" t="s">
        <v>281</v>
      </c>
    </row>
    <row r="48" spans="2:14" ht="18" thickBot="1" x14ac:dyDescent="0.35">
      <c r="B48" s="3" t="s">
        <v>318</v>
      </c>
      <c r="C48" s="4" t="s">
        <v>10</v>
      </c>
      <c r="D48" s="4" t="s">
        <v>27</v>
      </c>
      <c r="E48" s="4" t="s">
        <v>36</v>
      </c>
      <c r="F48" s="4" t="s">
        <v>90</v>
      </c>
      <c r="G48" s="4" t="s">
        <v>21</v>
      </c>
    </row>
    <row r="49" spans="2:7" ht="15.6" thickTop="1" thickBot="1" x14ac:dyDescent="0.35"/>
    <row r="50" spans="2:7" ht="22.2" thickTop="1" thickBot="1" x14ac:dyDescent="0.35">
      <c r="B50" s="114" t="str">
        <f>_xlfn.CONCAT("HORÁRIO TURMA ENEM - TURMA 02")</f>
        <v>HORÁRIO TURMA ENEM - TURMA 02</v>
      </c>
      <c r="C50" s="115"/>
      <c r="D50" s="115"/>
      <c r="E50" s="115"/>
      <c r="F50" s="115"/>
      <c r="G50" s="116"/>
    </row>
    <row r="51" spans="2:7" ht="18.600000000000001" thickTop="1" thickBot="1" x14ac:dyDescent="0.35">
      <c r="B51" s="1"/>
      <c r="C51" s="2" t="s">
        <v>0</v>
      </c>
      <c r="D51" s="2" t="s">
        <v>1</v>
      </c>
      <c r="E51" s="2" t="s">
        <v>2</v>
      </c>
      <c r="F51" s="2" t="s">
        <v>3</v>
      </c>
      <c r="G51" s="2" t="s">
        <v>4</v>
      </c>
    </row>
    <row r="52" spans="2:7" ht="18" thickTop="1" x14ac:dyDescent="0.3">
      <c r="B52" s="11" t="s">
        <v>5</v>
      </c>
      <c r="C52" s="6" t="s">
        <v>261</v>
      </c>
      <c r="D52" s="6" t="s">
        <v>267</v>
      </c>
      <c r="E52" s="6" t="s">
        <v>274</v>
      </c>
      <c r="F52" s="6" t="s">
        <v>275</v>
      </c>
      <c r="G52" s="6" t="s">
        <v>265</v>
      </c>
    </row>
    <row r="53" spans="2:7" ht="18" thickBot="1" x14ac:dyDescent="0.35">
      <c r="B53" s="3" t="s">
        <v>314</v>
      </c>
      <c r="C53" s="4" t="s">
        <v>8</v>
      </c>
      <c r="D53" s="4" t="s">
        <v>88</v>
      </c>
      <c r="E53" s="4" t="s">
        <v>196</v>
      </c>
      <c r="F53" s="4" t="s">
        <v>8</v>
      </c>
      <c r="G53" s="4" t="s">
        <v>256</v>
      </c>
    </row>
    <row r="54" spans="2:7" ht="18" thickTop="1" x14ac:dyDescent="0.3">
      <c r="B54" s="11" t="s">
        <v>12</v>
      </c>
      <c r="C54" s="6" t="s">
        <v>260</v>
      </c>
      <c r="D54" s="6" t="s">
        <v>268</v>
      </c>
      <c r="E54" s="6" t="s">
        <v>271</v>
      </c>
      <c r="F54" s="6" t="s">
        <v>278</v>
      </c>
      <c r="G54" s="6" t="s">
        <v>268</v>
      </c>
    </row>
    <row r="55" spans="2:7" ht="18" thickBot="1" x14ac:dyDescent="0.35">
      <c r="B55" s="3" t="s">
        <v>315</v>
      </c>
      <c r="C55" s="4" t="s">
        <v>17</v>
      </c>
      <c r="D55" s="4" t="s">
        <v>9</v>
      </c>
      <c r="E55" s="4" t="s">
        <v>47</v>
      </c>
      <c r="F55" s="4" t="s">
        <v>97</v>
      </c>
      <c r="G55" s="4" t="s">
        <v>9</v>
      </c>
    </row>
    <row r="56" spans="2:7" ht="18.600000000000001" thickTop="1" thickBot="1" x14ac:dyDescent="0.35">
      <c r="B56" s="5" t="s">
        <v>316</v>
      </c>
      <c r="C56" s="117" t="s">
        <v>23</v>
      </c>
      <c r="D56" s="118"/>
      <c r="E56" s="118"/>
      <c r="F56" s="118"/>
      <c r="G56" s="119"/>
    </row>
    <row r="57" spans="2:7" ht="18" thickTop="1" x14ac:dyDescent="0.3">
      <c r="B57" s="11" t="s">
        <v>18</v>
      </c>
      <c r="C57" s="6" t="s">
        <v>263</v>
      </c>
      <c r="D57" s="6" t="s">
        <v>270</v>
      </c>
      <c r="E57" s="6" t="s">
        <v>272</v>
      </c>
      <c r="F57" s="6" t="s">
        <v>276</v>
      </c>
      <c r="G57" s="6" t="s">
        <v>279</v>
      </c>
    </row>
    <row r="58" spans="2:7" ht="18" thickBot="1" x14ac:dyDescent="0.35">
      <c r="B58" s="3" t="s">
        <v>317</v>
      </c>
      <c r="C58" s="4" t="s">
        <v>291</v>
      </c>
      <c r="D58" s="4" t="s">
        <v>79</v>
      </c>
      <c r="E58" s="4" t="s">
        <v>67</v>
      </c>
      <c r="F58" s="4" t="s">
        <v>48</v>
      </c>
      <c r="G58" s="4" t="s">
        <v>11</v>
      </c>
    </row>
    <row r="59" spans="2:7" ht="18" thickTop="1" x14ac:dyDescent="0.3">
      <c r="B59" s="11" t="s">
        <v>24</v>
      </c>
      <c r="C59" s="6" t="s">
        <v>19</v>
      </c>
      <c r="D59" s="6" t="s">
        <v>101</v>
      </c>
      <c r="E59" s="6" t="s">
        <v>273</v>
      </c>
      <c r="F59" s="6" t="s">
        <v>262</v>
      </c>
      <c r="G59" s="6" t="s">
        <v>281</v>
      </c>
    </row>
    <row r="60" spans="2:7" ht="18" thickBot="1" x14ac:dyDescent="0.35">
      <c r="B60" s="3" t="s">
        <v>318</v>
      </c>
      <c r="C60" s="4" t="s">
        <v>10</v>
      </c>
      <c r="D60" s="4" t="s">
        <v>27</v>
      </c>
      <c r="E60" s="4" t="s">
        <v>36</v>
      </c>
      <c r="F60" s="4" t="s">
        <v>90</v>
      </c>
      <c r="G60" s="4" t="s">
        <v>21</v>
      </c>
    </row>
    <row r="61" spans="2:7" ht="15.6" thickTop="1" thickBot="1" x14ac:dyDescent="0.35"/>
    <row r="62" spans="2:7" ht="22.2" thickTop="1" thickBot="1" x14ac:dyDescent="0.35">
      <c r="B62" s="114" t="str">
        <f>_xlfn.CONCAT("HORÁRIO TURMA ENEM - TURMA 03")</f>
        <v>HORÁRIO TURMA ENEM - TURMA 03</v>
      </c>
      <c r="C62" s="115"/>
      <c r="D62" s="115"/>
      <c r="E62" s="115"/>
      <c r="F62" s="115"/>
      <c r="G62" s="116"/>
    </row>
    <row r="63" spans="2:7" ht="18.600000000000001" thickTop="1" thickBot="1" x14ac:dyDescent="0.35">
      <c r="B63" s="1"/>
      <c r="C63" s="2" t="s">
        <v>0</v>
      </c>
      <c r="D63" s="2" t="s">
        <v>1</v>
      </c>
      <c r="E63" s="2" t="s">
        <v>2</v>
      </c>
      <c r="F63" s="2" t="s">
        <v>3</v>
      </c>
      <c r="G63" s="2" t="s">
        <v>4</v>
      </c>
    </row>
    <row r="64" spans="2:7" ht="18" thickTop="1" x14ac:dyDescent="0.3">
      <c r="B64" s="11" t="s">
        <v>5</v>
      </c>
      <c r="C64" s="6" t="s">
        <v>261</v>
      </c>
      <c r="D64" s="6" t="s">
        <v>267</v>
      </c>
      <c r="E64" s="6" t="s">
        <v>274</v>
      </c>
      <c r="F64" s="6" t="s">
        <v>275</v>
      </c>
      <c r="G64" s="6" t="s">
        <v>265</v>
      </c>
    </row>
    <row r="65" spans="2:7" ht="18" thickBot="1" x14ac:dyDescent="0.35">
      <c r="B65" s="3" t="s">
        <v>314</v>
      </c>
      <c r="C65" s="4" t="s">
        <v>8</v>
      </c>
      <c r="D65" s="4" t="s">
        <v>88</v>
      </c>
      <c r="E65" s="4" t="s">
        <v>196</v>
      </c>
      <c r="F65" s="4" t="s">
        <v>8</v>
      </c>
      <c r="G65" s="4" t="s">
        <v>256</v>
      </c>
    </row>
    <row r="66" spans="2:7" ht="18" thickTop="1" x14ac:dyDescent="0.3">
      <c r="B66" s="11" t="s">
        <v>12</v>
      </c>
      <c r="C66" s="6" t="s">
        <v>260</v>
      </c>
      <c r="D66" s="6" t="s">
        <v>268</v>
      </c>
      <c r="E66" s="6" t="s">
        <v>271</v>
      </c>
      <c r="F66" s="6" t="s">
        <v>278</v>
      </c>
      <c r="G66" s="6" t="s">
        <v>268</v>
      </c>
    </row>
    <row r="67" spans="2:7" ht="18" thickBot="1" x14ac:dyDescent="0.35">
      <c r="B67" s="3" t="s">
        <v>315</v>
      </c>
      <c r="C67" s="4" t="s">
        <v>17</v>
      </c>
      <c r="D67" s="4" t="s">
        <v>9</v>
      </c>
      <c r="E67" s="4" t="s">
        <v>47</v>
      </c>
      <c r="F67" s="4" t="s">
        <v>97</v>
      </c>
      <c r="G67" s="4" t="s">
        <v>9</v>
      </c>
    </row>
    <row r="68" spans="2:7" ht="18.600000000000001" thickTop="1" thickBot="1" x14ac:dyDescent="0.35">
      <c r="B68" s="5" t="s">
        <v>316</v>
      </c>
      <c r="C68" s="117" t="s">
        <v>23</v>
      </c>
      <c r="D68" s="118"/>
      <c r="E68" s="118"/>
      <c r="F68" s="118"/>
      <c r="G68" s="119"/>
    </row>
    <row r="69" spans="2:7" ht="18" thickTop="1" x14ac:dyDescent="0.3">
      <c r="B69" s="11" t="s">
        <v>18</v>
      </c>
      <c r="C69" s="6" t="s">
        <v>263</v>
      </c>
      <c r="D69" s="6" t="s">
        <v>270</v>
      </c>
      <c r="E69" s="6" t="s">
        <v>272</v>
      </c>
      <c r="F69" s="6" t="s">
        <v>276</v>
      </c>
      <c r="G69" s="6" t="s">
        <v>279</v>
      </c>
    </row>
    <row r="70" spans="2:7" ht="18" thickBot="1" x14ac:dyDescent="0.35">
      <c r="B70" s="3" t="s">
        <v>317</v>
      </c>
      <c r="C70" s="4" t="s">
        <v>291</v>
      </c>
      <c r="D70" s="4" t="s">
        <v>79</v>
      </c>
      <c r="E70" s="4" t="s">
        <v>67</v>
      </c>
      <c r="F70" s="4" t="s">
        <v>48</v>
      </c>
      <c r="G70" s="4" t="s">
        <v>11</v>
      </c>
    </row>
    <row r="71" spans="2:7" ht="18" thickTop="1" x14ac:dyDescent="0.3">
      <c r="B71" s="11" t="s">
        <v>24</v>
      </c>
      <c r="C71" s="6" t="s">
        <v>19</v>
      </c>
      <c r="D71" s="6" t="s">
        <v>101</v>
      </c>
      <c r="E71" s="6" t="s">
        <v>273</v>
      </c>
      <c r="F71" s="6" t="s">
        <v>262</v>
      </c>
      <c r="G71" s="6" t="s">
        <v>281</v>
      </c>
    </row>
    <row r="72" spans="2:7" ht="18" thickBot="1" x14ac:dyDescent="0.35">
      <c r="B72" s="3" t="s">
        <v>318</v>
      </c>
      <c r="C72" s="4" t="s">
        <v>10</v>
      </c>
      <c r="D72" s="4" t="s">
        <v>27</v>
      </c>
      <c r="E72" s="4" t="s">
        <v>36</v>
      </c>
      <c r="F72" s="4" t="s">
        <v>90</v>
      </c>
      <c r="G72" s="4" t="s">
        <v>21</v>
      </c>
    </row>
    <row r="73" spans="2:7" ht="15.6" thickTop="1" thickBot="1" x14ac:dyDescent="0.35"/>
    <row r="74" spans="2:7" ht="22.2" thickTop="1" thickBot="1" x14ac:dyDescent="0.35">
      <c r="B74" s="114" t="str">
        <f>_xlfn.CONCAT("HORÁRIO TURMA ENEM - TURMA 04")</f>
        <v>HORÁRIO TURMA ENEM - TURMA 04</v>
      </c>
      <c r="C74" s="115"/>
      <c r="D74" s="115"/>
      <c r="E74" s="115"/>
      <c r="F74" s="115"/>
      <c r="G74" s="116"/>
    </row>
    <row r="75" spans="2:7" ht="18.600000000000001" thickTop="1" thickBot="1" x14ac:dyDescent="0.35">
      <c r="B75" s="1"/>
      <c r="C75" s="2" t="s">
        <v>0</v>
      </c>
      <c r="D75" s="2" t="s">
        <v>1</v>
      </c>
      <c r="E75" s="2" t="s">
        <v>2</v>
      </c>
      <c r="F75" s="2" t="s">
        <v>3</v>
      </c>
      <c r="G75" s="2" t="s">
        <v>4</v>
      </c>
    </row>
    <row r="76" spans="2:7" ht="18" thickTop="1" x14ac:dyDescent="0.3">
      <c r="B76" s="11" t="s">
        <v>5</v>
      </c>
      <c r="C76" s="6" t="s">
        <v>261</v>
      </c>
      <c r="D76" s="6" t="s">
        <v>267</v>
      </c>
      <c r="E76" s="6" t="s">
        <v>274</v>
      </c>
      <c r="F76" s="6" t="s">
        <v>275</v>
      </c>
      <c r="G76" s="6" t="s">
        <v>265</v>
      </c>
    </row>
    <row r="77" spans="2:7" ht="18" thickBot="1" x14ac:dyDescent="0.35">
      <c r="B77" s="3" t="s">
        <v>314</v>
      </c>
      <c r="C77" s="4" t="s">
        <v>8</v>
      </c>
      <c r="D77" s="4" t="s">
        <v>88</v>
      </c>
      <c r="E77" s="4" t="s">
        <v>196</v>
      </c>
      <c r="F77" s="4" t="s">
        <v>8</v>
      </c>
      <c r="G77" s="4" t="s">
        <v>256</v>
      </c>
    </row>
    <row r="78" spans="2:7" ht="18" thickTop="1" x14ac:dyDescent="0.3">
      <c r="B78" s="11" t="s">
        <v>12</v>
      </c>
      <c r="C78" s="6" t="s">
        <v>260</v>
      </c>
      <c r="D78" s="6" t="s">
        <v>268</v>
      </c>
      <c r="E78" s="6" t="s">
        <v>271</v>
      </c>
      <c r="F78" s="6" t="s">
        <v>278</v>
      </c>
      <c r="G78" s="6" t="s">
        <v>268</v>
      </c>
    </row>
    <row r="79" spans="2:7" ht="18" thickBot="1" x14ac:dyDescent="0.35">
      <c r="B79" s="3" t="s">
        <v>315</v>
      </c>
      <c r="C79" s="4" t="s">
        <v>17</v>
      </c>
      <c r="D79" s="4" t="s">
        <v>9</v>
      </c>
      <c r="E79" s="4" t="s">
        <v>47</v>
      </c>
      <c r="F79" s="4" t="s">
        <v>97</v>
      </c>
      <c r="G79" s="4" t="s">
        <v>9</v>
      </c>
    </row>
    <row r="80" spans="2:7" ht="18.600000000000001" thickTop="1" thickBot="1" x14ac:dyDescent="0.35">
      <c r="B80" s="5" t="s">
        <v>316</v>
      </c>
      <c r="C80" s="117" t="s">
        <v>23</v>
      </c>
      <c r="D80" s="118"/>
      <c r="E80" s="118"/>
      <c r="F80" s="118"/>
      <c r="G80" s="119"/>
    </row>
    <row r="81" spans="2:12" ht="18" thickTop="1" x14ac:dyDescent="0.3">
      <c r="B81" s="11" t="s">
        <v>18</v>
      </c>
      <c r="C81" s="6" t="s">
        <v>263</v>
      </c>
      <c r="D81" s="6" t="s">
        <v>270</v>
      </c>
      <c r="E81" s="6" t="s">
        <v>272</v>
      </c>
      <c r="F81" s="6" t="s">
        <v>276</v>
      </c>
      <c r="G81" s="6" t="s">
        <v>279</v>
      </c>
    </row>
    <row r="82" spans="2:12" ht="18" thickBot="1" x14ac:dyDescent="0.35">
      <c r="B82" s="3" t="s">
        <v>317</v>
      </c>
      <c r="C82" s="4" t="s">
        <v>291</v>
      </c>
      <c r="D82" s="4" t="s">
        <v>79</v>
      </c>
      <c r="E82" s="4" t="s">
        <v>67</v>
      </c>
      <c r="F82" s="4" t="s">
        <v>48</v>
      </c>
      <c r="G82" s="4" t="s">
        <v>11</v>
      </c>
    </row>
    <row r="83" spans="2:12" ht="18" thickTop="1" x14ac:dyDescent="0.3">
      <c r="B83" s="11" t="s">
        <v>24</v>
      </c>
      <c r="C83" s="6" t="s">
        <v>19</v>
      </c>
      <c r="D83" s="6" t="s">
        <v>101</v>
      </c>
      <c r="E83" s="6" t="s">
        <v>273</v>
      </c>
      <c r="F83" s="6" t="s">
        <v>262</v>
      </c>
      <c r="G83" s="6" t="s">
        <v>281</v>
      </c>
    </row>
    <row r="84" spans="2:12" ht="18" thickBot="1" x14ac:dyDescent="0.35">
      <c r="B84" s="3" t="s">
        <v>318</v>
      </c>
      <c r="C84" s="4" t="s">
        <v>10</v>
      </c>
      <c r="D84" s="4" t="s">
        <v>27</v>
      </c>
      <c r="E84" s="4" t="s">
        <v>36</v>
      </c>
      <c r="F84" s="4" t="s">
        <v>90</v>
      </c>
      <c r="G84" s="4" t="s">
        <v>21</v>
      </c>
    </row>
    <row r="85" spans="2:12" ht="15.6" thickTop="1" thickBot="1" x14ac:dyDescent="0.35"/>
    <row r="86" spans="2:12" ht="22.2" thickTop="1" thickBot="1" x14ac:dyDescent="0.35">
      <c r="B86" s="114" t="str">
        <f>_xlfn.CONCAT("HORÁRIO TURMA ENEM - TURMA 05")</f>
        <v>HORÁRIO TURMA ENEM - TURMA 05</v>
      </c>
      <c r="C86" s="115"/>
      <c r="D86" s="115"/>
      <c r="E86" s="115"/>
      <c r="F86" s="115"/>
      <c r="G86" s="116"/>
    </row>
    <row r="87" spans="2:12" ht="18.600000000000001" thickTop="1" thickBot="1" x14ac:dyDescent="0.35">
      <c r="B87" s="1"/>
      <c r="C87" s="2" t="s">
        <v>0</v>
      </c>
      <c r="D87" s="2" t="s">
        <v>1</v>
      </c>
      <c r="E87" s="2" t="s">
        <v>2</v>
      </c>
      <c r="F87" s="2" t="s">
        <v>3</v>
      </c>
      <c r="G87" s="2" t="s">
        <v>4</v>
      </c>
    </row>
    <row r="88" spans="2:12" ht="18" thickTop="1" x14ac:dyDescent="0.3">
      <c r="B88" s="11" t="s">
        <v>5</v>
      </c>
      <c r="C88" s="6" t="s">
        <v>261</v>
      </c>
      <c r="D88" s="6" t="s">
        <v>267</v>
      </c>
      <c r="E88" s="6" t="s">
        <v>274</v>
      </c>
      <c r="F88" s="6" t="s">
        <v>275</v>
      </c>
      <c r="G88" s="6" t="s">
        <v>265</v>
      </c>
    </row>
    <row r="89" spans="2:12" ht="18" thickBot="1" x14ac:dyDescent="0.35">
      <c r="B89" s="3" t="s">
        <v>314</v>
      </c>
      <c r="C89" s="4" t="s">
        <v>8</v>
      </c>
      <c r="D89" s="4" t="s">
        <v>88</v>
      </c>
      <c r="E89" s="4" t="s">
        <v>196</v>
      </c>
      <c r="F89" s="4" t="s">
        <v>8</v>
      </c>
      <c r="G89" s="4" t="s">
        <v>256</v>
      </c>
    </row>
    <row r="90" spans="2:12" ht="18" thickTop="1" x14ac:dyDescent="0.3">
      <c r="B90" s="11" t="s">
        <v>12</v>
      </c>
      <c r="C90" s="6" t="s">
        <v>260</v>
      </c>
      <c r="D90" s="6" t="s">
        <v>268</v>
      </c>
      <c r="E90" s="6" t="s">
        <v>271</v>
      </c>
      <c r="F90" s="6" t="s">
        <v>278</v>
      </c>
      <c r="G90" s="6" t="s">
        <v>268</v>
      </c>
      <c r="I90" s="6" t="s">
        <v>260</v>
      </c>
      <c r="L90" s="6" t="s">
        <v>277</v>
      </c>
    </row>
    <row r="91" spans="2:12" ht="18" thickBot="1" x14ac:dyDescent="0.35">
      <c r="B91" s="3" t="s">
        <v>315</v>
      </c>
      <c r="C91" s="4" t="s">
        <v>17</v>
      </c>
      <c r="D91" s="4" t="s">
        <v>9</v>
      </c>
      <c r="E91" s="4" t="s">
        <v>47</v>
      </c>
      <c r="F91" s="4" t="s">
        <v>97</v>
      </c>
      <c r="G91" s="4" t="s">
        <v>9</v>
      </c>
      <c r="I91" s="4" t="s">
        <v>17</v>
      </c>
      <c r="L91" s="4" t="s">
        <v>222</v>
      </c>
    </row>
    <row r="92" spans="2:12" ht="18.600000000000001" thickTop="1" thickBot="1" x14ac:dyDescent="0.35">
      <c r="B92" s="5" t="s">
        <v>316</v>
      </c>
      <c r="C92" s="117" t="s">
        <v>23</v>
      </c>
      <c r="D92" s="118"/>
      <c r="E92" s="118"/>
      <c r="F92" s="118"/>
      <c r="G92" s="119"/>
    </row>
    <row r="93" spans="2:12" ht="18" thickTop="1" x14ac:dyDescent="0.3">
      <c r="B93" s="11" t="s">
        <v>18</v>
      </c>
      <c r="C93" s="6" t="s">
        <v>263</v>
      </c>
      <c r="D93" s="6" t="s">
        <v>270</v>
      </c>
      <c r="E93" s="6" t="s">
        <v>272</v>
      </c>
      <c r="F93" s="6" t="s">
        <v>276</v>
      </c>
      <c r="G93" s="6" t="s">
        <v>279</v>
      </c>
    </row>
    <row r="94" spans="2:12" ht="18" thickBot="1" x14ac:dyDescent="0.35">
      <c r="B94" s="3" t="s">
        <v>317</v>
      </c>
      <c r="C94" s="4" t="s">
        <v>291</v>
      </c>
      <c r="D94" s="4" t="s">
        <v>79</v>
      </c>
      <c r="E94" s="4" t="s">
        <v>67</v>
      </c>
      <c r="F94" s="4" t="s">
        <v>48</v>
      </c>
      <c r="G94" s="4" t="s">
        <v>11</v>
      </c>
    </row>
    <row r="95" spans="2:12" ht="18" thickTop="1" x14ac:dyDescent="0.3">
      <c r="B95" s="11" t="s">
        <v>24</v>
      </c>
      <c r="C95" s="6" t="s">
        <v>19</v>
      </c>
      <c r="D95" s="6" t="s">
        <v>101</v>
      </c>
      <c r="E95" s="6" t="s">
        <v>273</v>
      </c>
      <c r="F95" s="6" t="s">
        <v>262</v>
      </c>
      <c r="G95" s="6" t="s">
        <v>281</v>
      </c>
    </row>
    <row r="96" spans="2:12" ht="18" thickBot="1" x14ac:dyDescent="0.35">
      <c r="B96" s="3" t="s">
        <v>318</v>
      </c>
      <c r="C96" s="4" t="s">
        <v>10</v>
      </c>
      <c r="D96" s="4" t="s">
        <v>27</v>
      </c>
      <c r="E96" s="4" t="s">
        <v>36</v>
      </c>
      <c r="F96" s="4" t="s">
        <v>90</v>
      </c>
      <c r="G96" s="4" t="s">
        <v>21</v>
      </c>
    </row>
    <row r="97" ht="15" thickTop="1" x14ac:dyDescent="0.3"/>
  </sheetData>
  <mergeCells count="17">
    <mergeCell ref="I26:N26"/>
    <mergeCell ref="J32:N32"/>
    <mergeCell ref="B38:G38"/>
    <mergeCell ref="C32:G32"/>
    <mergeCell ref="C44:G44"/>
    <mergeCell ref="C56:G56"/>
    <mergeCell ref="C68:G68"/>
    <mergeCell ref="B2:G2"/>
    <mergeCell ref="C10:G10"/>
    <mergeCell ref="B17:G17"/>
    <mergeCell ref="B26:G26"/>
    <mergeCell ref="B86:G86"/>
    <mergeCell ref="B50:G50"/>
    <mergeCell ref="B62:G62"/>
    <mergeCell ref="B74:G74"/>
    <mergeCell ref="C80:G80"/>
    <mergeCell ref="C92:G92"/>
  </mergeCells>
  <printOptions horizontalCentered="1"/>
  <pageMargins left="0.51181102362204722" right="0.51181102362204722" top="1.9685039370078741" bottom="1.9685039370078741" header="0.31496062992125984" footer="0.31496062992125984"/>
  <pageSetup paperSize="9" scale="41" fitToHeight="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F3FF44-FB8A-4F02-9A5F-ED200742CA05}">
  <sheetPr codeName="Planilha16"/>
  <dimension ref="B1:J27"/>
  <sheetViews>
    <sheetView zoomScale="86" zoomScaleNormal="86" workbookViewId="0">
      <selection activeCell="E6" sqref="E6"/>
    </sheetView>
  </sheetViews>
  <sheetFormatPr defaultRowHeight="14.4" x14ac:dyDescent="0.3"/>
  <cols>
    <col min="2" max="2" width="16.33203125" customWidth="1"/>
    <col min="3" max="7" width="30.6640625" customWidth="1"/>
    <col min="8" max="8" width="14.33203125" customWidth="1"/>
    <col min="9" max="9" width="14.6640625" customWidth="1"/>
    <col min="10" max="10" width="20.33203125" bestFit="1" customWidth="1"/>
  </cols>
  <sheetData>
    <row r="1" spans="2:10" ht="15" thickBot="1" x14ac:dyDescent="0.35"/>
    <row r="2" spans="2:10" ht="24" thickTop="1" thickBot="1" x14ac:dyDescent="0.35">
      <c r="B2" s="139" t="s">
        <v>220</v>
      </c>
      <c r="C2" s="140"/>
      <c r="D2" s="140"/>
      <c r="E2" s="140"/>
      <c r="F2" s="140"/>
      <c r="G2" s="141"/>
      <c r="H2" s="33"/>
      <c r="I2" s="33"/>
      <c r="J2" s="33"/>
    </row>
    <row r="3" spans="2:10" ht="18.600000000000001" thickTop="1" thickBot="1" x14ac:dyDescent="0.35">
      <c r="B3" s="1"/>
      <c r="C3" s="2" t="s">
        <v>0</v>
      </c>
      <c r="D3" s="2" t="s">
        <v>1</v>
      </c>
      <c r="E3" s="2" t="s">
        <v>2</v>
      </c>
      <c r="F3" s="2" t="s">
        <v>3</v>
      </c>
      <c r="G3" s="2" t="s">
        <v>4</v>
      </c>
    </row>
    <row r="4" spans="2:10" ht="18" customHeight="1" thickTop="1" x14ac:dyDescent="0.3">
      <c r="B4" s="11" t="s">
        <v>5</v>
      </c>
      <c r="C4" s="6" t="s">
        <v>215</v>
      </c>
      <c r="D4" s="11" t="s">
        <v>218</v>
      </c>
      <c r="E4" s="6" t="s">
        <v>101</v>
      </c>
      <c r="F4" s="6" t="s">
        <v>217</v>
      </c>
      <c r="G4" s="6" t="s">
        <v>62</v>
      </c>
    </row>
    <row r="5" spans="2:10" ht="18" thickBot="1" x14ac:dyDescent="0.35">
      <c r="B5" s="3" t="s">
        <v>138</v>
      </c>
      <c r="C5" s="4" t="s">
        <v>11</v>
      </c>
      <c r="D5" s="4" t="s">
        <v>79</v>
      </c>
      <c r="E5" s="4" t="s">
        <v>27</v>
      </c>
      <c r="F5" s="4" t="s">
        <v>47</v>
      </c>
      <c r="G5" s="4" t="s">
        <v>90</v>
      </c>
    </row>
    <row r="6" spans="2:10" ht="18" customHeight="1" thickTop="1" x14ac:dyDescent="0.3">
      <c r="B6" s="11" t="s">
        <v>12</v>
      </c>
      <c r="C6" s="6" t="s">
        <v>215</v>
      </c>
      <c r="D6" s="6" t="s">
        <v>40</v>
      </c>
      <c r="E6" s="6" t="s">
        <v>101</v>
      </c>
      <c r="F6" s="6" t="s">
        <v>217</v>
      </c>
      <c r="G6" s="6" t="s">
        <v>62</v>
      </c>
    </row>
    <row r="7" spans="2:10" ht="18" thickBot="1" x14ac:dyDescent="0.35">
      <c r="B7" s="3" t="s">
        <v>139</v>
      </c>
      <c r="C7" s="4" t="s">
        <v>11</v>
      </c>
      <c r="D7" s="4" t="s">
        <v>92</v>
      </c>
      <c r="E7" s="4" t="s">
        <v>27</v>
      </c>
      <c r="F7" s="4" t="s">
        <v>47</v>
      </c>
      <c r="G7" s="4" t="s">
        <v>90</v>
      </c>
    </row>
    <row r="8" spans="2:10" ht="18" customHeight="1" thickTop="1" x14ac:dyDescent="0.3">
      <c r="B8" s="11" t="s">
        <v>18</v>
      </c>
      <c r="C8" s="124" t="s">
        <v>152</v>
      </c>
      <c r="D8" s="124" t="s">
        <v>152</v>
      </c>
      <c r="E8" s="124" t="s">
        <v>152</v>
      </c>
      <c r="F8" s="124" t="s">
        <v>152</v>
      </c>
      <c r="G8" s="6" t="s">
        <v>219</v>
      </c>
    </row>
    <row r="9" spans="2:10" ht="18" thickBot="1" x14ac:dyDescent="0.35">
      <c r="B9" s="3" t="s">
        <v>140</v>
      </c>
      <c r="C9" s="125"/>
      <c r="D9" s="125"/>
      <c r="E9" s="125"/>
      <c r="F9" s="125"/>
      <c r="G9" s="4" t="s">
        <v>107</v>
      </c>
    </row>
    <row r="10" spans="2:10" ht="18.600000000000001" thickTop="1" thickBot="1" x14ac:dyDescent="0.35">
      <c r="B10" s="5" t="s">
        <v>141</v>
      </c>
      <c r="C10" s="117" t="s">
        <v>23</v>
      </c>
      <c r="D10" s="118"/>
      <c r="E10" s="118"/>
      <c r="F10" s="118"/>
      <c r="G10" s="119"/>
    </row>
    <row r="11" spans="2:10" ht="18" customHeight="1" thickTop="1" x14ac:dyDescent="0.3">
      <c r="B11" s="11" t="s">
        <v>24</v>
      </c>
      <c r="C11" s="6" t="s">
        <v>153</v>
      </c>
      <c r="D11" s="6" t="s">
        <v>25</v>
      </c>
      <c r="E11" s="6" t="s">
        <v>16</v>
      </c>
      <c r="F11" s="6" t="s">
        <v>63</v>
      </c>
      <c r="G11" s="6" t="s">
        <v>219</v>
      </c>
    </row>
    <row r="12" spans="2:10" ht="18" thickBot="1" x14ac:dyDescent="0.35">
      <c r="B12" s="3" t="s">
        <v>142</v>
      </c>
      <c r="C12" s="4" t="s">
        <v>154</v>
      </c>
      <c r="D12" s="4" t="s">
        <v>56</v>
      </c>
      <c r="E12" s="4" t="s">
        <v>89</v>
      </c>
      <c r="F12" s="4" t="s">
        <v>9</v>
      </c>
      <c r="G12" s="4" t="s">
        <v>107</v>
      </c>
    </row>
    <row r="13" spans="2:10" ht="18" thickTop="1" x14ac:dyDescent="0.3">
      <c r="B13" s="11" t="s">
        <v>30</v>
      </c>
      <c r="C13" s="6" t="s">
        <v>153</v>
      </c>
      <c r="D13" s="6" t="s">
        <v>19</v>
      </c>
      <c r="E13" s="6" t="s">
        <v>65</v>
      </c>
      <c r="F13" s="6" t="s">
        <v>63</v>
      </c>
      <c r="G13" s="6" t="s">
        <v>156</v>
      </c>
    </row>
    <row r="14" spans="2:10" ht="18" thickBot="1" x14ac:dyDescent="0.35">
      <c r="B14" s="3" t="s">
        <v>143</v>
      </c>
      <c r="C14" s="4" t="s">
        <v>154</v>
      </c>
      <c r="D14" s="4" t="s">
        <v>154</v>
      </c>
      <c r="E14" s="4" t="s">
        <v>48</v>
      </c>
      <c r="F14" s="4" t="s">
        <v>9</v>
      </c>
      <c r="G14" s="4" t="s">
        <v>157</v>
      </c>
    </row>
    <row r="15" spans="2:10" ht="18" thickTop="1" x14ac:dyDescent="0.3">
      <c r="B15" s="11" t="s">
        <v>39</v>
      </c>
      <c r="C15" s="6" t="s">
        <v>63</v>
      </c>
      <c r="D15" s="6" t="s">
        <v>216</v>
      </c>
      <c r="E15" s="6" t="s">
        <v>65</v>
      </c>
      <c r="F15" s="6" t="s">
        <v>62</v>
      </c>
      <c r="G15" s="124" t="s">
        <v>152</v>
      </c>
    </row>
    <row r="16" spans="2:10" ht="18" thickBot="1" x14ac:dyDescent="0.35">
      <c r="B16" s="3" t="s">
        <v>144</v>
      </c>
      <c r="C16" s="4" t="s">
        <v>110</v>
      </c>
      <c r="D16" s="4" t="s">
        <v>154</v>
      </c>
      <c r="E16" s="4" t="s">
        <v>48</v>
      </c>
      <c r="F16" s="4" t="s">
        <v>37</v>
      </c>
      <c r="G16" s="125"/>
    </row>
    <row r="17" spans="2:7" ht="18.600000000000001" thickTop="1" thickBot="1" x14ac:dyDescent="0.35">
      <c r="B17" s="5" t="s">
        <v>145</v>
      </c>
      <c r="C17" s="117" t="s">
        <v>160</v>
      </c>
      <c r="D17" s="118"/>
      <c r="E17" s="118"/>
      <c r="F17" s="118"/>
      <c r="G17" s="119"/>
    </row>
    <row r="18" spans="2:7" ht="18" thickTop="1" x14ac:dyDescent="0.3">
      <c r="B18" s="11" t="s">
        <v>5</v>
      </c>
      <c r="C18" s="124" t="s">
        <v>152</v>
      </c>
      <c r="D18" s="11" t="s">
        <v>218</v>
      </c>
      <c r="E18" s="124" t="s">
        <v>152</v>
      </c>
      <c r="F18" s="124" t="s">
        <v>152</v>
      </c>
      <c r="G18" s="124" t="s">
        <v>152</v>
      </c>
    </row>
    <row r="19" spans="2:7" ht="18" thickBot="1" x14ac:dyDescent="0.35">
      <c r="B19" s="3" t="s">
        <v>146</v>
      </c>
      <c r="C19" s="125"/>
      <c r="D19" s="4" t="s">
        <v>79</v>
      </c>
      <c r="E19" s="125"/>
      <c r="F19" s="125"/>
      <c r="G19" s="125"/>
    </row>
    <row r="20" spans="2:7" ht="18" thickTop="1" x14ac:dyDescent="0.3">
      <c r="B20" s="11" t="s">
        <v>12</v>
      </c>
      <c r="C20" s="124" t="s">
        <v>152</v>
      </c>
      <c r="D20" s="6" t="s">
        <v>63</v>
      </c>
      <c r="E20" s="6" t="s">
        <v>65</v>
      </c>
      <c r="F20" s="6" t="s">
        <v>64</v>
      </c>
      <c r="G20" s="6" t="s">
        <v>163</v>
      </c>
    </row>
    <row r="21" spans="2:7" ht="18" thickBot="1" x14ac:dyDescent="0.35">
      <c r="B21" s="3" t="s">
        <v>147</v>
      </c>
      <c r="C21" s="125"/>
      <c r="D21" s="4" t="s">
        <v>9</v>
      </c>
      <c r="E21" s="4" t="s">
        <v>36</v>
      </c>
      <c r="F21" s="4" t="s">
        <v>21</v>
      </c>
      <c r="G21" s="4" t="s">
        <v>129</v>
      </c>
    </row>
    <row r="22" spans="2:7" ht="18.600000000000001" thickTop="1" thickBot="1" x14ac:dyDescent="0.35">
      <c r="B22" s="5" t="s">
        <v>148</v>
      </c>
      <c r="C22" s="117" t="s">
        <v>23</v>
      </c>
      <c r="D22" s="118"/>
      <c r="E22" s="118"/>
      <c r="F22" s="118"/>
      <c r="G22" s="119"/>
    </row>
    <row r="23" spans="2:7" ht="18" thickTop="1" x14ac:dyDescent="0.3">
      <c r="B23" s="11" t="s">
        <v>18</v>
      </c>
      <c r="C23" s="11" t="s">
        <v>175</v>
      </c>
      <c r="D23" s="124" t="s">
        <v>152</v>
      </c>
      <c r="E23" s="6" t="s">
        <v>163</v>
      </c>
      <c r="F23" s="6" t="s">
        <v>64</v>
      </c>
      <c r="G23" s="6" t="s">
        <v>62</v>
      </c>
    </row>
    <row r="24" spans="2:7" ht="18" thickBot="1" x14ac:dyDescent="0.35">
      <c r="B24" s="3" t="s">
        <v>149</v>
      </c>
      <c r="C24" s="4" t="s">
        <v>194</v>
      </c>
      <c r="D24" s="125"/>
      <c r="E24" s="4" t="s">
        <v>129</v>
      </c>
      <c r="F24" s="4" t="s">
        <v>21</v>
      </c>
      <c r="G24" s="4" t="s">
        <v>90</v>
      </c>
    </row>
    <row r="25" spans="2:7" ht="18" thickTop="1" x14ac:dyDescent="0.3">
      <c r="B25" s="11" t="s">
        <v>24</v>
      </c>
      <c r="C25" s="11" t="s">
        <v>175</v>
      </c>
      <c r="D25" s="124" t="s">
        <v>152</v>
      </c>
      <c r="E25" s="6" t="s">
        <v>179</v>
      </c>
      <c r="F25" s="6" t="s">
        <v>62</v>
      </c>
      <c r="G25" s="6" t="s">
        <v>62</v>
      </c>
    </row>
    <row r="26" spans="2:7" ht="18" thickBot="1" x14ac:dyDescent="0.35">
      <c r="B26" s="3" t="s">
        <v>150</v>
      </c>
      <c r="C26" s="4" t="s">
        <v>194</v>
      </c>
      <c r="D26" s="125"/>
      <c r="E26" s="4" t="s">
        <v>28</v>
      </c>
      <c r="F26" s="4" t="s">
        <v>37</v>
      </c>
      <c r="G26" s="4" t="s">
        <v>90</v>
      </c>
    </row>
    <row r="27" spans="2:7" ht="15" thickTop="1" x14ac:dyDescent="0.3"/>
  </sheetData>
  <mergeCells count="16">
    <mergeCell ref="G15:G16"/>
    <mergeCell ref="E18:E19"/>
    <mergeCell ref="F18:F19"/>
    <mergeCell ref="B2:G2"/>
    <mergeCell ref="C8:C9"/>
    <mergeCell ref="D8:D9"/>
    <mergeCell ref="E8:E9"/>
    <mergeCell ref="F8:F9"/>
    <mergeCell ref="C10:G10"/>
    <mergeCell ref="C17:G17"/>
    <mergeCell ref="G18:G19"/>
    <mergeCell ref="C22:G22"/>
    <mergeCell ref="C18:C19"/>
    <mergeCell ref="C20:C21"/>
    <mergeCell ref="D23:D24"/>
    <mergeCell ref="D25:D26"/>
  </mergeCells>
  <printOptions horizontalCentered="1"/>
  <pageMargins left="0.51181102362204722" right="0.51181102362204722" top="0.78740157480314965" bottom="0.78740157480314965" header="0.31496062992125984" footer="0.31496062992125984"/>
  <pageSetup paperSize="9" scale="70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F5F7A-F4A3-43C7-8867-085E1D7D0AF6}">
  <sheetPr codeName="Planilha19"/>
  <dimension ref="B1:J29"/>
  <sheetViews>
    <sheetView zoomScale="86" zoomScaleNormal="86" workbookViewId="0">
      <selection activeCell="E16" sqref="E16"/>
    </sheetView>
  </sheetViews>
  <sheetFormatPr defaultRowHeight="14.4" x14ac:dyDescent="0.3"/>
  <cols>
    <col min="2" max="2" width="16.33203125" customWidth="1"/>
    <col min="3" max="7" width="30.6640625" customWidth="1"/>
    <col min="8" max="8" width="14.33203125" customWidth="1"/>
    <col min="9" max="9" width="14.6640625" customWidth="1"/>
    <col min="10" max="10" width="20.33203125" bestFit="1" customWidth="1"/>
  </cols>
  <sheetData>
    <row r="1" spans="2:10" ht="15" thickBot="1" x14ac:dyDescent="0.35"/>
    <row r="2" spans="2:10" ht="28.2" customHeight="1" thickTop="1" thickBot="1" x14ac:dyDescent="0.35">
      <c r="B2" s="139" t="s">
        <v>207</v>
      </c>
      <c r="C2" s="140"/>
      <c r="D2" s="140"/>
      <c r="E2" s="140"/>
      <c r="F2" s="140"/>
      <c r="G2" s="141"/>
      <c r="H2" s="33"/>
      <c r="I2" s="33"/>
      <c r="J2" s="33"/>
    </row>
    <row r="3" spans="2:10" ht="18.600000000000001" thickTop="1" thickBot="1" x14ac:dyDescent="0.35">
      <c r="B3" s="1"/>
      <c r="C3" s="2" t="s">
        <v>0</v>
      </c>
      <c r="D3" s="2" t="s">
        <v>1</v>
      </c>
      <c r="E3" s="2" t="s">
        <v>2</v>
      </c>
      <c r="F3" s="2" t="s">
        <v>3</v>
      </c>
      <c r="G3" s="2" t="s">
        <v>4</v>
      </c>
    </row>
    <row r="4" spans="2:10" ht="18" customHeight="1" thickTop="1" x14ac:dyDescent="0.3">
      <c r="B4" s="11" t="s">
        <v>5</v>
      </c>
      <c r="C4" s="6" t="s">
        <v>94</v>
      </c>
      <c r="D4" s="11" t="s">
        <v>61</v>
      </c>
      <c r="E4" s="6" t="s">
        <v>65</v>
      </c>
      <c r="F4" s="6" t="s">
        <v>62</v>
      </c>
      <c r="G4" s="6" t="s">
        <v>63</v>
      </c>
    </row>
    <row r="5" spans="2:10" ht="18" thickBot="1" x14ac:dyDescent="0.35">
      <c r="B5" s="3" t="s">
        <v>138</v>
      </c>
      <c r="C5" s="4" t="s">
        <v>11</v>
      </c>
      <c r="D5" s="4" t="s">
        <v>79</v>
      </c>
      <c r="E5" s="4" t="s">
        <v>36</v>
      </c>
      <c r="F5" s="4" t="s">
        <v>37</v>
      </c>
      <c r="G5" s="4" t="s">
        <v>9</v>
      </c>
    </row>
    <row r="6" spans="2:10" ht="18" customHeight="1" thickTop="1" x14ac:dyDescent="0.3">
      <c r="B6" s="11" t="s">
        <v>12</v>
      </c>
      <c r="C6" s="6" t="s">
        <v>94</v>
      </c>
      <c r="D6" s="11" t="s">
        <v>61</v>
      </c>
      <c r="E6" s="6" t="s">
        <v>65</v>
      </c>
      <c r="F6" s="6" t="s">
        <v>62</v>
      </c>
      <c r="G6" s="6" t="s">
        <v>63</v>
      </c>
    </row>
    <row r="7" spans="2:10" ht="18" thickBot="1" x14ac:dyDescent="0.35">
      <c r="B7" s="3" t="s">
        <v>139</v>
      </c>
      <c r="C7" s="4" t="s">
        <v>11</v>
      </c>
      <c r="D7" s="4" t="s">
        <v>79</v>
      </c>
      <c r="E7" s="4" t="s">
        <v>36</v>
      </c>
      <c r="F7" s="4" t="s">
        <v>37</v>
      </c>
      <c r="G7" s="4" t="s">
        <v>9</v>
      </c>
    </row>
    <row r="8" spans="2:10" ht="18" customHeight="1" thickTop="1" x14ac:dyDescent="0.3">
      <c r="B8" s="11" t="s">
        <v>18</v>
      </c>
      <c r="C8" s="6" t="s">
        <v>153</v>
      </c>
      <c r="D8" s="6" t="s">
        <v>25</v>
      </c>
      <c r="E8" s="6" t="s">
        <v>63</v>
      </c>
      <c r="F8" s="6" t="s">
        <v>101</v>
      </c>
      <c r="G8" s="6" t="s">
        <v>61</v>
      </c>
    </row>
    <row r="9" spans="2:10" ht="18" thickBot="1" x14ac:dyDescent="0.35">
      <c r="B9" s="3" t="s">
        <v>140</v>
      </c>
      <c r="C9" s="4" t="s">
        <v>154</v>
      </c>
      <c r="D9" s="4" t="s">
        <v>56</v>
      </c>
      <c r="E9" s="4" t="s">
        <v>110</v>
      </c>
      <c r="F9" s="4" t="s">
        <v>27</v>
      </c>
      <c r="G9" s="4" t="s">
        <v>107</v>
      </c>
    </row>
    <row r="10" spans="2:10" ht="18.600000000000001" thickTop="1" thickBot="1" x14ac:dyDescent="0.35">
      <c r="B10" s="5" t="s">
        <v>141</v>
      </c>
      <c r="C10" s="117" t="s">
        <v>23</v>
      </c>
      <c r="D10" s="118"/>
      <c r="E10" s="118"/>
      <c r="F10" s="118"/>
      <c r="G10" s="119"/>
    </row>
    <row r="11" spans="2:10" ht="18" customHeight="1" thickTop="1" x14ac:dyDescent="0.3">
      <c r="B11" s="11" t="s">
        <v>24</v>
      </c>
      <c r="C11" s="6" t="s">
        <v>153</v>
      </c>
      <c r="D11" s="6" t="s">
        <v>25</v>
      </c>
      <c r="E11" s="6" t="s">
        <v>63</v>
      </c>
      <c r="F11" s="6" t="s">
        <v>101</v>
      </c>
      <c r="G11" s="6" t="s">
        <v>61</v>
      </c>
    </row>
    <row r="12" spans="2:10" ht="18" thickBot="1" x14ac:dyDescent="0.35">
      <c r="B12" s="3" t="s">
        <v>142</v>
      </c>
      <c r="C12" s="4" t="s">
        <v>154</v>
      </c>
      <c r="D12" s="4" t="s">
        <v>56</v>
      </c>
      <c r="E12" s="4" t="s">
        <v>110</v>
      </c>
      <c r="F12" s="4" t="s">
        <v>27</v>
      </c>
      <c r="G12" s="4" t="s">
        <v>107</v>
      </c>
    </row>
    <row r="13" spans="2:10" ht="18" thickTop="1" x14ac:dyDescent="0.3">
      <c r="B13" s="11" t="s">
        <v>30</v>
      </c>
      <c r="C13" s="6" t="s">
        <v>64</v>
      </c>
      <c r="D13" s="6" t="s">
        <v>63</v>
      </c>
      <c r="E13" s="6" t="s">
        <v>94</v>
      </c>
      <c r="F13" s="6" t="s">
        <v>63</v>
      </c>
      <c r="G13" s="6" t="s">
        <v>94</v>
      </c>
    </row>
    <row r="14" spans="2:10" ht="18" thickBot="1" x14ac:dyDescent="0.35">
      <c r="B14" s="3" t="s">
        <v>143</v>
      </c>
      <c r="C14" s="4" t="s">
        <v>21</v>
      </c>
      <c r="D14" s="4" t="s">
        <v>9</v>
      </c>
      <c r="E14" s="4" t="s">
        <v>47</v>
      </c>
      <c r="F14" s="4" t="s">
        <v>110</v>
      </c>
      <c r="G14" s="4" t="s">
        <v>11</v>
      </c>
    </row>
    <row r="15" spans="2:10" ht="18" thickTop="1" x14ac:dyDescent="0.3">
      <c r="B15" s="11" t="s">
        <v>39</v>
      </c>
      <c r="C15" s="6" t="s">
        <v>64</v>
      </c>
      <c r="D15" s="6" t="s">
        <v>63</v>
      </c>
      <c r="E15" s="6" t="s">
        <v>94</v>
      </c>
      <c r="F15" s="6" t="s">
        <v>16</v>
      </c>
      <c r="G15" s="6" t="s">
        <v>94</v>
      </c>
    </row>
    <row r="16" spans="2:10" ht="18" thickBot="1" x14ac:dyDescent="0.35">
      <c r="B16" s="3" t="s">
        <v>210</v>
      </c>
      <c r="C16" s="4" t="s">
        <v>21</v>
      </c>
      <c r="D16" s="4" t="s">
        <v>9</v>
      </c>
      <c r="E16" s="4" t="s">
        <v>47</v>
      </c>
      <c r="F16" s="4" t="s">
        <v>89</v>
      </c>
      <c r="G16" s="4" t="s">
        <v>11</v>
      </c>
    </row>
    <row r="17" spans="2:7" ht="18.600000000000001" thickTop="1" thickBot="1" x14ac:dyDescent="0.35">
      <c r="B17" s="5" t="s">
        <v>211</v>
      </c>
      <c r="C17" s="117" t="s">
        <v>160</v>
      </c>
      <c r="D17" s="118"/>
      <c r="E17" s="118"/>
      <c r="F17" s="118"/>
      <c r="G17" s="119"/>
    </row>
    <row r="18" spans="2:7" ht="18" customHeight="1" thickTop="1" x14ac:dyDescent="0.3">
      <c r="B18" s="11" t="s">
        <v>5</v>
      </c>
      <c r="C18" s="142" t="s">
        <v>212</v>
      </c>
      <c r="D18" s="6" t="s">
        <v>19</v>
      </c>
      <c r="E18" s="142" t="s">
        <v>213</v>
      </c>
      <c r="F18" s="142" t="s">
        <v>209</v>
      </c>
      <c r="G18" s="70"/>
    </row>
    <row r="19" spans="2:7" ht="18" thickBot="1" x14ac:dyDescent="0.35">
      <c r="B19" s="3" t="s">
        <v>146</v>
      </c>
      <c r="C19" s="144"/>
      <c r="D19" s="4" t="s">
        <v>154</v>
      </c>
      <c r="E19" s="144"/>
      <c r="F19" s="143"/>
      <c r="G19" s="71"/>
    </row>
    <row r="20" spans="2:7" ht="18" customHeight="1" thickTop="1" x14ac:dyDescent="0.3">
      <c r="B20" s="11" t="s">
        <v>12</v>
      </c>
      <c r="C20" s="144"/>
      <c r="D20" s="6" t="s">
        <v>19</v>
      </c>
      <c r="E20" s="144"/>
      <c r="F20" s="142" t="s">
        <v>209</v>
      </c>
      <c r="G20" s="70"/>
    </row>
    <row r="21" spans="2:7" ht="18" thickBot="1" x14ac:dyDescent="0.35">
      <c r="B21" s="3" t="s">
        <v>147</v>
      </c>
      <c r="C21" s="144"/>
      <c r="D21" s="4" t="s">
        <v>154</v>
      </c>
      <c r="E21" s="144"/>
      <c r="F21" s="143"/>
      <c r="G21" s="71"/>
    </row>
    <row r="22" spans="2:7" ht="18.600000000000001" thickTop="1" thickBot="1" x14ac:dyDescent="0.35">
      <c r="B22" s="5" t="s">
        <v>148</v>
      </c>
      <c r="C22" s="144"/>
      <c r="D22" s="96" t="s">
        <v>23</v>
      </c>
      <c r="E22" s="144"/>
      <c r="F22" s="117" t="s">
        <v>23</v>
      </c>
      <c r="G22" s="119"/>
    </row>
    <row r="23" spans="2:7" ht="18" thickTop="1" x14ac:dyDescent="0.3">
      <c r="B23" s="11" t="s">
        <v>18</v>
      </c>
      <c r="C23" s="144"/>
      <c r="D23" s="124" t="s">
        <v>208</v>
      </c>
      <c r="E23" s="144"/>
      <c r="F23" s="124" t="s">
        <v>208</v>
      </c>
      <c r="G23" s="70"/>
    </row>
    <row r="24" spans="2:7" ht="18" thickBot="1" x14ac:dyDescent="0.35">
      <c r="B24" s="3" t="s">
        <v>149</v>
      </c>
      <c r="C24" s="144"/>
      <c r="D24" s="125"/>
      <c r="E24" s="144"/>
      <c r="F24" s="125"/>
      <c r="G24" s="71"/>
    </row>
    <row r="25" spans="2:7" ht="18" thickTop="1" x14ac:dyDescent="0.3">
      <c r="B25" s="11" t="s">
        <v>24</v>
      </c>
      <c r="C25" s="144"/>
      <c r="D25" s="124" t="s">
        <v>208</v>
      </c>
      <c r="E25" s="144"/>
      <c r="F25" s="124" t="s">
        <v>208</v>
      </c>
      <c r="G25" s="70"/>
    </row>
    <row r="26" spans="2:7" ht="18" thickBot="1" x14ac:dyDescent="0.35">
      <c r="B26" s="3" t="s">
        <v>150</v>
      </c>
      <c r="C26" s="143"/>
      <c r="D26" s="125"/>
      <c r="E26" s="143"/>
      <c r="F26" s="125"/>
      <c r="G26" s="71"/>
    </row>
    <row r="27" spans="2:7" ht="18" thickTop="1" x14ac:dyDescent="0.3">
      <c r="B27" s="11" t="s">
        <v>30</v>
      </c>
      <c r="C27" s="70"/>
      <c r="D27" s="70"/>
      <c r="E27" s="70"/>
      <c r="F27" s="70"/>
      <c r="G27" s="70"/>
    </row>
    <row r="28" spans="2:7" ht="18" thickBot="1" x14ac:dyDescent="0.35">
      <c r="B28" s="3" t="s">
        <v>151</v>
      </c>
      <c r="C28" s="71"/>
      <c r="D28" s="71"/>
      <c r="E28" s="71"/>
      <c r="F28" s="71"/>
      <c r="G28" s="71"/>
    </row>
    <row r="29" spans="2:7" ht="15" thickTop="1" x14ac:dyDescent="0.3"/>
  </sheetData>
  <mergeCells count="12">
    <mergeCell ref="F25:F26"/>
    <mergeCell ref="C18:C26"/>
    <mergeCell ref="E18:E26"/>
    <mergeCell ref="F22:G22"/>
    <mergeCell ref="D25:D26"/>
    <mergeCell ref="C17:G17"/>
    <mergeCell ref="D23:D24"/>
    <mergeCell ref="F18:F19"/>
    <mergeCell ref="F20:F21"/>
    <mergeCell ref="B2:G2"/>
    <mergeCell ref="C10:G10"/>
    <mergeCell ref="F23:F24"/>
  </mergeCells>
  <pageMargins left="0.51181102362204722" right="0.51181102362204722" top="0.78740157480314965" bottom="0.78740157480314965" header="0.31496062992125984" footer="0.31496062992125984"/>
  <pageSetup paperSize="9" scale="70" fitToHeight="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8B83E7-272F-4F47-8130-56A6D3E8BB84}">
  <sheetPr codeName="Planilha22"/>
  <dimension ref="B1:J27"/>
  <sheetViews>
    <sheetView topLeftCell="A2" zoomScale="86" zoomScaleNormal="86" workbookViewId="0">
      <selection activeCell="B2" sqref="B2:G26"/>
    </sheetView>
  </sheetViews>
  <sheetFormatPr defaultRowHeight="14.4" x14ac:dyDescent="0.3"/>
  <cols>
    <col min="2" max="2" width="16.33203125" customWidth="1"/>
    <col min="3" max="7" width="30.6640625" customWidth="1"/>
    <col min="8" max="8" width="14.33203125" customWidth="1"/>
    <col min="9" max="9" width="14.6640625" customWidth="1"/>
    <col min="10" max="10" width="20.33203125" bestFit="1" customWidth="1"/>
  </cols>
  <sheetData>
    <row r="1" spans="2:10" ht="15" thickBot="1" x14ac:dyDescent="0.35"/>
    <row r="2" spans="2:10" ht="24" thickTop="1" thickBot="1" x14ac:dyDescent="0.35">
      <c r="B2" s="139" t="s">
        <v>283</v>
      </c>
      <c r="C2" s="140"/>
      <c r="D2" s="140"/>
      <c r="E2" s="140"/>
      <c r="F2" s="140"/>
      <c r="G2" s="141"/>
      <c r="H2" s="33"/>
      <c r="I2" s="33"/>
      <c r="J2" s="33"/>
    </row>
    <row r="3" spans="2:10" ht="18.600000000000001" thickTop="1" thickBot="1" x14ac:dyDescent="0.35">
      <c r="B3" s="1"/>
      <c r="C3" s="2" t="s">
        <v>0</v>
      </c>
      <c r="D3" s="2" t="s">
        <v>1</v>
      </c>
      <c r="E3" s="2" t="s">
        <v>2</v>
      </c>
      <c r="F3" s="2" t="s">
        <v>3</v>
      </c>
      <c r="G3" s="2" t="s">
        <v>4</v>
      </c>
    </row>
    <row r="4" spans="2:10" ht="18" customHeight="1" thickTop="1" x14ac:dyDescent="0.3">
      <c r="B4" s="11" t="s">
        <v>5</v>
      </c>
      <c r="C4" s="6" t="s">
        <v>215</v>
      </c>
      <c r="D4" s="6" t="s">
        <v>63</v>
      </c>
      <c r="E4" s="6" t="s">
        <v>101</v>
      </c>
      <c r="F4" s="6" t="s">
        <v>217</v>
      </c>
      <c r="G4" s="6" t="s">
        <v>62</v>
      </c>
    </row>
    <row r="5" spans="2:10" ht="18" thickBot="1" x14ac:dyDescent="0.35">
      <c r="B5" s="3" t="s">
        <v>138</v>
      </c>
      <c r="C5" s="4" t="s">
        <v>11</v>
      </c>
      <c r="D5" s="4" t="s">
        <v>110</v>
      </c>
      <c r="E5" s="4" t="s">
        <v>27</v>
      </c>
      <c r="F5" s="4" t="s">
        <v>47</v>
      </c>
      <c r="G5" s="4" t="s">
        <v>90</v>
      </c>
    </row>
    <row r="6" spans="2:10" ht="18" customHeight="1" thickTop="1" x14ac:dyDescent="0.3">
      <c r="B6" s="11" t="s">
        <v>12</v>
      </c>
      <c r="C6" s="6" t="s">
        <v>215</v>
      </c>
      <c r="D6" s="6" t="s">
        <v>40</v>
      </c>
      <c r="E6" s="6" t="s">
        <v>101</v>
      </c>
      <c r="F6" s="6" t="s">
        <v>217</v>
      </c>
      <c r="G6" s="6" t="s">
        <v>62</v>
      </c>
    </row>
    <row r="7" spans="2:10" ht="18" thickBot="1" x14ac:dyDescent="0.35">
      <c r="B7" s="3" t="s">
        <v>139</v>
      </c>
      <c r="C7" s="4" t="s">
        <v>11</v>
      </c>
      <c r="D7" s="4" t="s">
        <v>92</v>
      </c>
      <c r="E7" s="4" t="s">
        <v>27</v>
      </c>
      <c r="F7" s="4" t="s">
        <v>47</v>
      </c>
      <c r="G7" s="4" t="s">
        <v>90</v>
      </c>
    </row>
    <row r="8" spans="2:10" ht="18" customHeight="1" thickTop="1" x14ac:dyDescent="0.3">
      <c r="B8" s="11" t="s">
        <v>18</v>
      </c>
      <c r="C8" s="124" t="s">
        <v>152</v>
      </c>
      <c r="D8" s="124" t="s">
        <v>152</v>
      </c>
      <c r="E8" s="124" t="s">
        <v>152</v>
      </c>
      <c r="F8" s="124" t="s">
        <v>152</v>
      </c>
      <c r="G8" s="6" t="s">
        <v>219</v>
      </c>
    </row>
    <row r="9" spans="2:10" ht="18" thickBot="1" x14ac:dyDescent="0.35">
      <c r="B9" s="3" t="s">
        <v>140</v>
      </c>
      <c r="C9" s="125"/>
      <c r="D9" s="125"/>
      <c r="E9" s="125"/>
      <c r="F9" s="125"/>
      <c r="G9" s="4" t="s">
        <v>107</v>
      </c>
    </row>
    <row r="10" spans="2:10" ht="18.600000000000001" thickTop="1" thickBot="1" x14ac:dyDescent="0.35">
      <c r="B10" s="5" t="s">
        <v>141</v>
      </c>
      <c r="C10" s="117" t="s">
        <v>23</v>
      </c>
      <c r="D10" s="118"/>
      <c r="E10" s="118"/>
      <c r="F10" s="118"/>
      <c r="G10" s="119"/>
    </row>
    <row r="11" spans="2:10" ht="18" customHeight="1" thickTop="1" x14ac:dyDescent="0.3">
      <c r="B11" s="11" t="s">
        <v>24</v>
      </c>
      <c r="C11" s="6" t="s">
        <v>153</v>
      </c>
      <c r="D11" s="6" t="s">
        <v>25</v>
      </c>
      <c r="E11" s="6" t="s">
        <v>16</v>
      </c>
      <c r="F11" s="6" t="s">
        <v>63</v>
      </c>
      <c r="G11" s="6" t="s">
        <v>219</v>
      </c>
    </row>
    <row r="12" spans="2:10" ht="18" thickBot="1" x14ac:dyDescent="0.35">
      <c r="B12" s="3" t="s">
        <v>142</v>
      </c>
      <c r="C12" s="4" t="s">
        <v>154</v>
      </c>
      <c r="D12" s="4" t="s">
        <v>56</v>
      </c>
      <c r="E12" s="4" t="s">
        <v>89</v>
      </c>
      <c r="F12" s="4" t="s">
        <v>9</v>
      </c>
      <c r="G12" s="4" t="s">
        <v>107</v>
      </c>
    </row>
    <row r="13" spans="2:10" ht="18" thickTop="1" x14ac:dyDescent="0.3">
      <c r="B13" s="11" t="s">
        <v>30</v>
      </c>
      <c r="C13" s="6" t="s">
        <v>153</v>
      </c>
      <c r="D13" s="6" t="s">
        <v>19</v>
      </c>
      <c r="E13" s="6" t="s">
        <v>65</v>
      </c>
      <c r="F13" s="6" t="s">
        <v>63</v>
      </c>
      <c r="G13" s="6" t="s">
        <v>156</v>
      </c>
    </row>
    <row r="14" spans="2:10" ht="18" thickBot="1" x14ac:dyDescent="0.35">
      <c r="B14" s="3" t="s">
        <v>143</v>
      </c>
      <c r="C14" s="4" t="s">
        <v>154</v>
      </c>
      <c r="D14" s="4" t="s">
        <v>154</v>
      </c>
      <c r="E14" s="4" t="s">
        <v>48</v>
      </c>
      <c r="F14" s="4" t="s">
        <v>9</v>
      </c>
      <c r="G14" s="4" t="s">
        <v>157</v>
      </c>
    </row>
    <row r="15" spans="2:10" ht="18" thickTop="1" x14ac:dyDescent="0.3">
      <c r="B15" s="11" t="s">
        <v>39</v>
      </c>
      <c r="C15" s="11" t="s">
        <v>218</v>
      </c>
      <c r="D15" s="6" t="s">
        <v>216</v>
      </c>
      <c r="E15" s="6" t="s">
        <v>65</v>
      </c>
      <c r="F15" s="6" t="s">
        <v>62</v>
      </c>
      <c r="G15" s="124" t="s">
        <v>152</v>
      </c>
    </row>
    <row r="16" spans="2:10" ht="18" thickBot="1" x14ac:dyDescent="0.35">
      <c r="B16" s="3" t="s">
        <v>144</v>
      </c>
      <c r="C16" s="4" t="s">
        <v>79</v>
      </c>
      <c r="D16" s="4" t="s">
        <v>154</v>
      </c>
      <c r="E16" s="4" t="s">
        <v>48</v>
      </c>
      <c r="F16" s="4" t="s">
        <v>37</v>
      </c>
      <c r="G16" s="125"/>
    </row>
    <row r="17" spans="2:7" ht="18.600000000000001" thickTop="1" thickBot="1" x14ac:dyDescent="0.35">
      <c r="B17" s="5" t="s">
        <v>145</v>
      </c>
      <c r="C17" s="117" t="s">
        <v>160</v>
      </c>
      <c r="D17" s="118"/>
      <c r="E17" s="118"/>
      <c r="F17" s="118"/>
      <c r="G17" s="119"/>
    </row>
    <row r="18" spans="2:7" ht="18" thickTop="1" x14ac:dyDescent="0.3">
      <c r="B18" s="11" t="s">
        <v>5</v>
      </c>
      <c r="C18" s="11" t="s">
        <v>158</v>
      </c>
      <c r="D18" s="11" t="s">
        <v>288</v>
      </c>
      <c r="E18" s="37" t="s">
        <v>179</v>
      </c>
      <c r="F18" s="6" t="s">
        <v>164</v>
      </c>
      <c r="G18" s="148" t="s">
        <v>191</v>
      </c>
    </row>
    <row r="19" spans="2:7" ht="18" thickBot="1" x14ac:dyDescent="0.35">
      <c r="B19" s="3" t="s">
        <v>146</v>
      </c>
      <c r="C19" s="4" t="s">
        <v>79</v>
      </c>
      <c r="D19" s="4" t="s">
        <v>289</v>
      </c>
      <c r="E19" s="55" t="s">
        <v>28</v>
      </c>
      <c r="F19" s="4" t="s">
        <v>47</v>
      </c>
      <c r="G19" s="149"/>
    </row>
    <row r="20" spans="2:7" ht="18" thickTop="1" x14ac:dyDescent="0.3">
      <c r="B20" s="11" t="s">
        <v>12</v>
      </c>
      <c r="C20" s="124" t="s">
        <v>152</v>
      </c>
      <c r="D20" s="6" t="s">
        <v>161</v>
      </c>
      <c r="E20" s="37" t="s">
        <v>158</v>
      </c>
      <c r="F20" s="124" t="s">
        <v>152</v>
      </c>
      <c r="G20" s="149"/>
    </row>
    <row r="21" spans="2:7" ht="18" thickBot="1" x14ac:dyDescent="0.35">
      <c r="B21" s="3" t="s">
        <v>147</v>
      </c>
      <c r="C21" s="125"/>
      <c r="D21" s="4" t="s">
        <v>154</v>
      </c>
      <c r="E21" s="55" t="s">
        <v>36</v>
      </c>
      <c r="F21" s="125"/>
      <c r="G21" s="150"/>
    </row>
    <row r="22" spans="2:7" ht="18.600000000000001" thickTop="1" thickBot="1" x14ac:dyDescent="0.35">
      <c r="B22" s="5" t="s">
        <v>148</v>
      </c>
      <c r="C22" s="145" t="s">
        <v>23</v>
      </c>
      <c r="D22" s="146"/>
      <c r="E22" s="146"/>
      <c r="F22" s="146"/>
      <c r="G22" s="147"/>
    </row>
    <row r="23" spans="2:7" ht="18" thickTop="1" x14ac:dyDescent="0.3">
      <c r="B23" s="11" t="s">
        <v>18</v>
      </c>
      <c r="C23" s="11" t="s">
        <v>218</v>
      </c>
      <c r="D23" s="11" t="s">
        <v>175</v>
      </c>
      <c r="E23" s="11" t="s">
        <v>163</v>
      </c>
      <c r="F23" s="95" t="s">
        <v>64</v>
      </c>
      <c r="G23" s="54"/>
    </row>
    <row r="24" spans="2:7" ht="18" thickBot="1" x14ac:dyDescent="0.35">
      <c r="B24" s="3" t="s">
        <v>149</v>
      </c>
      <c r="C24" s="4" t="s">
        <v>79</v>
      </c>
      <c r="D24" s="4" t="s">
        <v>194</v>
      </c>
      <c r="E24" s="4" t="s">
        <v>129</v>
      </c>
      <c r="F24" s="55" t="s">
        <v>21</v>
      </c>
      <c r="G24" s="57"/>
    </row>
    <row r="25" spans="2:7" ht="18" thickTop="1" x14ac:dyDescent="0.3">
      <c r="B25" s="11" t="s">
        <v>24</v>
      </c>
      <c r="C25" s="124" t="s">
        <v>152</v>
      </c>
      <c r="D25" s="11" t="s">
        <v>175</v>
      </c>
      <c r="E25" s="124" t="s">
        <v>152</v>
      </c>
      <c r="F25" s="37" t="s">
        <v>290</v>
      </c>
      <c r="G25" s="44"/>
    </row>
    <row r="26" spans="2:7" ht="18" thickBot="1" x14ac:dyDescent="0.35">
      <c r="B26" s="3" t="s">
        <v>150</v>
      </c>
      <c r="C26" s="125"/>
      <c r="D26" s="4" t="s">
        <v>194</v>
      </c>
      <c r="E26" s="125"/>
      <c r="F26" s="55" t="s">
        <v>37</v>
      </c>
      <c r="G26" s="57"/>
    </row>
    <row r="27" spans="2:7" ht="15" thickTop="1" x14ac:dyDescent="0.3"/>
  </sheetData>
  <mergeCells count="14">
    <mergeCell ref="B2:G2"/>
    <mergeCell ref="C8:C9"/>
    <mergeCell ref="D8:D9"/>
    <mergeCell ref="E8:E9"/>
    <mergeCell ref="C10:G10"/>
    <mergeCell ref="C22:G22"/>
    <mergeCell ref="F8:F9"/>
    <mergeCell ref="C20:C21"/>
    <mergeCell ref="C25:C26"/>
    <mergeCell ref="E25:E26"/>
    <mergeCell ref="F20:F21"/>
    <mergeCell ref="G18:G21"/>
    <mergeCell ref="G15:G16"/>
    <mergeCell ref="C17:G17"/>
  </mergeCells>
  <printOptions horizontalCentered="1"/>
  <pageMargins left="0.51181102362204722" right="0.51181102362204722" top="0.78740157480314965" bottom="0.78740157480314965" header="0.31496062992125984" footer="0.31496062992125984"/>
  <pageSetup paperSize="9" scale="70" fitToHeight="0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8B829-BB09-44B3-8EE4-5F21C486B72A}">
  <sheetPr codeName="Planilha23"/>
  <dimension ref="B1:J27"/>
  <sheetViews>
    <sheetView topLeftCell="A2" zoomScale="86" zoomScaleNormal="86" workbookViewId="0">
      <selection activeCell="B2" sqref="B2:G26"/>
    </sheetView>
  </sheetViews>
  <sheetFormatPr defaultRowHeight="14.4" x14ac:dyDescent="0.3"/>
  <cols>
    <col min="2" max="2" width="16.33203125" customWidth="1"/>
    <col min="3" max="7" width="30.6640625" customWidth="1"/>
    <col min="8" max="8" width="14.33203125" customWidth="1"/>
    <col min="9" max="9" width="14.6640625" customWidth="1"/>
    <col min="10" max="10" width="20.33203125" bestFit="1" customWidth="1"/>
  </cols>
  <sheetData>
    <row r="1" spans="2:10" ht="15" thickBot="1" x14ac:dyDescent="0.35"/>
    <row r="2" spans="2:10" ht="24" thickTop="1" thickBot="1" x14ac:dyDescent="0.35">
      <c r="B2" s="139" t="s">
        <v>284</v>
      </c>
      <c r="C2" s="140"/>
      <c r="D2" s="140"/>
      <c r="E2" s="140"/>
      <c r="F2" s="140"/>
      <c r="G2" s="141"/>
      <c r="H2" s="33"/>
      <c r="I2" s="33"/>
      <c r="J2" s="33"/>
    </row>
    <row r="3" spans="2:10" ht="18.600000000000001" thickTop="1" thickBot="1" x14ac:dyDescent="0.35">
      <c r="B3" s="1"/>
      <c r="C3" s="2" t="s">
        <v>0</v>
      </c>
      <c r="D3" s="2" t="s">
        <v>1</v>
      </c>
      <c r="E3" s="2" t="s">
        <v>2</v>
      </c>
      <c r="F3" s="2" t="s">
        <v>3</v>
      </c>
      <c r="G3" s="2" t="s">
        <v>4</v>
      </c>
    </row>
    <row r="4" spans="2:10" ht="18" customHeight="1" thickTop="1" x14ac:dyDescent="0.3">
      <c r="B4" s="11" t="s">
        <v>5</v>
      </c>
      <c r="C4" s="6" t="s">
        <v>153</v>
      </c>
      <c r="D4" s="6" t="s">
        <v>40</v>
      </c>
      <c r="E4" s="6" t="s">
        <v>65</v>
      </c>
      <c r="F4" s="6" t="s">
        <v>62</v>
      </c>
      <c r="G4" s="6" t="s">
        <v>61</v>
      </c>
    </row>
    <row r="5" spans="2:10" ht="18" thickBot="1" x14ac:dyDescent="0.35">
      <c r="B5" s="3" t="s">
        <v>138</v>
      </c>
      <c r="C5" s="4" t="s">
        <v>154</v>
      </c>
      <c r="D5" s="4" t="s">
        <v>92</v>
      </c>
      <c r="E5" s="4" t="s">
        <v>48</v>
      </c>
      <c r="F5" s="4" t="s">
        <v>37</v>
      </c>
      <c r="G5" s="4" t="s">
        <v>107</v>
      </c>
    </row>
    <row r="6" spans="2:10" ht="18" customHeight="1" thickTop="1" x14ac:dyDescent="0.3">
      <c r="B6" s="11" t="s">
        <v>12</v>
      </c>
      <c r="C6" s="6" t="s">
        <v>153</v>
      </c>
      <c r="D6" s="6" t="s">
        <v>25</v>
      </c>
      <c r="E6" s="6" t="s">
        <v>65</v>
      </c>
      <c r="F6" s="6" t="s">
        <v>63</v>
      </c>
      <c r="G6" s="6" t="s">
        <v>61</v>
      </c>
    </row>
    <row r="7" spans="2:10" ht="18" thickBot="1" x14ac:dyDescent="0.35">
      <c r="B7" s="3" t="s">
        <v>139</v>
      </c>
      <c r="C7" s="4" t="s">
        <v>154</v>
      </c>
      <c r="D7" s="4" t="s">
        <v>56</v>
      </c>
      <c r="E7" s="4" t="s">
        <v>48</v>
      </c>
      <c r="F7" s="4" t="s">
        <v>9</v>
      </c>
      <c r="G7" s="4" t="s">
        <v>107</v>
      </c>
    </row>
    <row r="8" spans="2:10" ht="18" customHeight="1" thickTop="1" x14ac:dyDescent="0.3">
      <c r="B8" s="11" t="s">
        <v>18</v>
      </c>
      <c r="C8" s="6" t="s">
        <v>94</v>
      </c>
      <c r="D8" s="6" t="s">
        <v>19</v>
      </c>
      <c r="E8" s="6" t="s">
        <v>101</v>
      </c>
      <c r="F8" s="6" t="s">
        <v>63</v>
      </c>
      <c r="G8" s="6" t="s">
        <v>156</v>
      </c>
    </row>
    <row r="9" spans="2:10" ht="18" thickBot="1" x14ac:dyDescent="0.35">
      <c r="B9" s="3" t="s">
        <v>140</v>
      </c>
      <c r="C9" s="4" t="s">
        <v>11</v>
      </c>
      <c r="D9" s="4" t="s">
        <v>259</v>
      </c>
      <c r="E9" s="4" t="s">
        <v>27</v>
      </c>
      <c r="F9" s="4" t="s">
        <v>9</v>
      </c>
      <c r="G9" s="4" t="s">
        <v>157</v>
      </c>
    </row>
    <row r="10" spans="2:10" ht="18.600000000000001" thickTop="1" thickBot="1" x14ac:dyDescent="0.35">
      <c r="B10" s="5" t="s">
        <v>141</v>
      </c>
      <c r="C10" s="117" t="s">
        <v>23</v>
      </c>
      <c r="D10" s="118"/>
      <c r="E10" s="118"/>
      <c r="F10" s="118"/>
      <c r="G10" s="119"/>
    </row>
    <row r="11" spans="2:10" ht="18" customHeight="1" thickTop="1" x14ac:dyDescent="0.3">
      <c r="B11" s="11" t="s">
        <v>24</v>
      </c>
      <c r="C11" s="6" t="s">
        <v>94</v>
      </c>
      <c r="D11" s="6" t="s">
        <v>63</v>
      </c>
      <c r="E11" s="124" t="s">
        <v>152</v>
      </c>
      <c r="F11" s="124" t="s">
        <v>152</v>
      </c>
      <c r="G11" s="124" t="s">
        <v>152</v>
      </c>
    </row>
    <row r="12" spans="2:10" ht="18" thickBot="1" x14ac:dyDescent="0.35">
      <c r="B12" s="3" t="s">
        <v>142</v>
      </c>
      <c r="C12" s="4" t="s">
        <v>11</v>
      </c>
      <c r="D12" s="4" t="s">
        <v>110</v>
      </c>
      <c r="E12" s="125"/>
      <c r="F12" s="125"/>
      <c r="G12" s="125"/>
    </row>
    <row r="13" spans="2:10" ht="18" thickTop="1" x14ac:dyDescent="0.3">
      <c r="B13" s="11" t="s">
        <v>30</v>
      </c>
      <c r="C13" s="11" t="s">
        <v>219</v>
      </c>
      <c r="D13" s="11" t="s">
        <v>258</v>
      </c>
      <c r="E13" s="6" t="s">
        <v>16</v>
      </c>
      <c r="F13" s="6" t="s">
        <v>94</v>
      </c>
      <c r="G13" s="6" t="s">
        <v>62</v>
      </c>
    </row>
    <row r="14" spans="2:10" ht="18" thickBot="1" x14ac:dyDescent="0.35">
      <c r="B14" s="3" t="s">
        <v>143</v>
      </c>
      <c r="C14" s="4" t="s">
        <v>79</v>
      </c>
      <c r="D14" s="4" t="s">
        <v>259</v>
      </c>
      <c r="E14" s="4" t="s">
        <v>89</v>
      </c>
      <c r="F14" s="4" t="s">
        <v>47</v>
      </c>
      <c r="G14" s="4" t="s">
        <v>90</v>
      </c>
    </row>
    <row r="15" spans="2:10" ht="18" thickTop="1" x14ac:dyDescent="0.3">
      <c r="B15" s="11" t="s">
        <v>39</v>
      </c>
      <c r="C15" s="124" t="s">
        <v>152</v>
      </c>
      <c r="D15" s="11" t="s">
        <v>258</v>
      </c>
      <c r="E15" s="6" t="s">
        <v>101</v>
      </c>
      <c r="F15" s="6" t="s">
        <v>94</v>
      </c>
      <c r="G15" s="6" t="s">
        <v>62</v>
      </c>
    </row>
    <row r="16" spans="2:10" ht="18" thickBot="1" x14ac:dyDescent="0.35">
      <c r="B16" s="3" t="s">
        <v>144</v>
      </c>
      <c r="C16" s="125"/>
      <c r="D16" s="4" t="s">
        <v>259</v>
      </c>
      <c r="E16" s="4" t="s">
        <v>27</v>
      </c>
      <c r="F16" s="4" t="s">
        <v>47</v>
      </c>
      <c r="G16" s="4" t="s">
        <v>90</v>
      </c>
    </row>
    <row r="17" spans="2:7" ht="18.600000000000001" thickTop="1" thickBot="1" x14ac:dyDescent="0.35">
      <c r="B17" s="5" t="s">
        <v>145</v>
      </c>
      <c r="C17" s="117" t="s">
        <v>160</v>
      </c>
      <c r="D17" s="118"/>
      <c r="E17" s="118"/>
      <c r="F17" s="118"/>
      <c r="G17" s="119"/>
    </row>
    <row r="18" spans="2:7" ht="18" customHeight="1" thickTop="1" x14ac:dyDescent="0.3">
      <c r="B18" s="11" t="s">
        <v>5</v>
      </c>
      <c r="C18" s="124" t="s">
        <v>152</v>
      </c>
      <c r="D18" s="11" t="s">
        <v>94</v>
      </c>
      <c r="E18" s="37" t="s">
        <v>65</v>
      </c>
      <c r="F18" s="44" t="s">
        <v>64</v>
      </c>
      <c r="G18" s="151" t="s">
        <v>191</v>
      </c>
    </row>
    <row r="19" spans="2:7" ht="18" thickBot="1" x14ac:dyDescent="0.35">
      <c r="B19" s="3" t="s">
        <v>146</v>
      </c>
      <c r="C19" s="125"/>
      <c r="D19" s="4" t="s">
        <v>35</v>
      </c>
      <c r="E19" s="55" t="s">
        <v>36</v>
      </c>
      <c r="F19" s="57" t="s">
        <v>21</v>
      </c>
      <c r="G19" s="152"/>
    </row>
    <row r="20" spans="2:7" ht="18" thickTop="1" x14ac:dyDescent="0.3">
      <c r="B20" s="11" t="s">
        <v>12</v>
      </c>
      <c r="C20" s="6" t="s">
        <v>158</v>
      </c>
      <c r="D20" s="6" t="s">
        <v>287</v>
      </c>
      <c r="E20" s="37" t="s">
        <v>179</v>
      </c>
      <c r="F20" s="44" t="s">
        <v>64</v>
      </c>
      <c r="G20" s="152"/>
    </row>
    <row r="21" spans="2:7" ht="18" thickBot="1" x14ac:dyDescent="0.35">
      <c r="B21" s="3" t="s">
        <v>147</v>
      </c>
      <c r="C21" s="4" t="s">
        <v>286</v>
      </c>
      <c r="D21" s="4" t="s">
        <v>9</v>
      </c>
      <c r="E21" s="55" t="s">
        <v>28</v>
      </c>
      <c r="F21" s="57" t="s">
        <v>21</v>
      </c>
      <c r="G21" s="153"/>
    </row>
    <row r="22" spans="2:7" ht="18.600000000000001" thickTop="1" thickBot="1" x14ac:dyDescent="0.35">
      <c r="B22" s="5" t="s">
        <v>148</v>
      </c>
      <c r="C22" s="145" t="s">
        <v>23</v>
      </c>
      <c r="D22" s="146"/>
      <c r="E22" s="146"/>
      <c r="F22" s="146"/>
      <c r="G22" s="147"/>
    </row>
    <row r="23" spans="2:7" ht="18" thickTop="1" x14ac:dyDescent="0.3">
      <c r="B23" s="11" t="s">
        <v>18</v>
      </c>
      <c r="C23" s="11" t="s">
        <v>175</v>
      </c>
      <c r="D23" s="11" t="s">
        <v>161</v>
      </c>
      <c r="E23" s="124" t="s">
        <v>152</v>
      </c>
      <c r="F23" s="124" t="s">
        <v>152</v>
      </c>
      <c r="G23" s="54"/>
    </row>
    <row r="24" spans="2:7" ht="18" thickBot="1" x14ac:dyDescent="0.35">
      <c r="B24" s="3" t="s">
        <v>149</v>
      </c>
      <c r="C24" s="4" t="s">
        <v>194</v>
      </c>
      <c r="D24" s="4" t="s">
        <v>154</v>
      </c>
      <c r="E24" s="125"/>
      <c r="F24" s="125"/>
      <c r="G24" s="57"/>
    </row>
    <row r="25" spans="2:7" ht="18" thickTop="1" x14ac:dyDescent="0.3">
      <c r="B25" s="11" t="s">
        <v>24</v>
      </c>
      <c r="C25" s="11" t="s">
        <v>175</v>
      </c>
      <c r="D25" s="124" t="s">
        <v>152</v>
      </c>
      <c r="E25" s="11" t="s">
        <v>163</v>
      </c>
      <c r="F25" s="124" t="s">
        <v>152</v>
      </c>
      <c r="G25" s="44"/>
    </row>
    <row r="26" spans="2:7" ht="18" thickBot="1" x14ac:dyDescent="0.35">
      <c r="B26" s="3" t="s">
        <v>150</v>
      </c>
      <c r="C26" s="4" t="s">
        <v>194</v>
      </c>
      <c r="D26" s="125"/>
      <c r="E26" s="4" t="s">
        <v>129</v>
      </c>
      <c r="F26" s="125"/>
      <c r="G26" s="57"/>
    </row>
    <row r="27" spans="2:7" ht="15" thickTop="1" x14ac:dyDescent="0.3"/>
  </sheetData>
  <mergeCells count="14">
    <mergeCell ref="C15:C16"/>
    <mergeCell ref="C17:G17"/>
    <mergeCell ref="B2:G2"/>
    <mergeCell ref="C10:G10"/>
    <mergeCell ref="E11:E12"/>
    <mergeCell ref="F11:F12"/>
    <mergeCell ref="G11:G12"/>
    <mergeCell ref="C22:G22"/>
    <mergeCell ref="C18:C19"/>
    <mergeCell ref="D25:D26"/>
    <mergeCell ref="E23:E24"/>
    <mergeCell ref="F23:F24"/>
    <mergeCell ref="F25:F26"/>
    <mergeCell ref="G18:G21"/>
  </mergeCells>
  <printOptions horizontalCentered="1"/>
  <pageMargins left="0.51181102362204722" right="0.51181102362204722" top="0.78740157480314965" bottom="0.78740157480314965" header="0.31496062992125984" footer="0.31496062992125984"/>
  <pageSetup paperSize="9" scale="70" fitToHeight="0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AFD42-4592-4130-93C3-9E33C05F0B7B}">
  <sheetPr codeName="Planilha24"/>
  <dimension ref="B1:J27"/>
  <sheetViews>
    <sheetView zoomScale="86" zoomScaleNormal="86" workbookViewId="0">
      <selection activeCell="J13" sqref="J13"/>
    </sheetView>
  </sheetViews>
  <sheetFormatPr defaultRowHeight="14.4" x14ac:dyDescent="0.3"/>
  <cols>
    <col min="2" max="2" width="16.33203125" customWidth="1"/>
    <col min="3" max="7" width="30.6640625" customWidth="1"/>
    <col min="8" max="8" width="14.33203125" customWidth="1"/>
    <col min="9" max="9" width="14.6640625" customWidth="1"/>
    <col min="10" max="10" width="20.33203125" bestFit="1" customWidth="1"/>
  </cols>
  <sheetData>
    <row r="1" spans="2:10" ht="15" thickBot="1" x14ac:dyDescent="0.35"/>
    <row r="2" spans="2:10" ht="27" customHeight="1" thickTop="1" thickBot="1" x14ac:dyDescent="0.35">
      <c r="B2" s="139" t="s">
        <v>285</v>
      </c>
      <c r="C2" s="140"/>
      <c r="D2" s="140"/>
      <c r="E2" s="140"/>
      <c r="F2" s="140"/>
      <c r="G2" s="141"/>
      <c r="H2" s="33"/>
      <c r="I2" s="33"/>
      <c r="J2" s="33"/>
    </row>
    <row r="3" spans="2:10" ht="18.600000000000001" thickTop="1" thickBot="1" x14ac:dyDescent="0.35">
      <c r="B3" s="1"/>
      <c r="C3" s="2" t="s">
        <v>0</v>
      </c>
      <c r="D3" s="2" t="s">
        <v>1</v>
      </c>
      <c r="E3" s="2" t="s">
        <v>2</v>
      </c>
      <c r="F3" s="2" t="s">
        <v>3</v>
      </c>
      <c r="G3" s="2" t="s">
        <v>4</v>
      </c>
    </row>
    <row r="4" spans="2:10" ht="18" customHeight="1" thickTop="1" x14ac:dyDescent="0.3">
      <c r="B4" s="11" t="s">
        <v>5</v>
      </c>
      <c r="C4" s="6" t="s">
        <v>19</v>
      </c>
      <c r="D4" s="6" t="s">
        <v>270</v>
      </c>
      <c r="E4" s="6" t="s">
        <v>274</v>
      </c>
      <c r="F4" s="6" t="s">
        <v>275</v>
      </c>
      <c r="G4" s="6" t="s">
        <v>179</v>
      </c>
    </row>
    <row r="5" spans="2:10" ht="18" thickBot="1" x14ac:dyDescent="0.35">
      <c r="B5" s="3" t="s">
        <v>68</v>
      </c>
      <c r="C5" s="4" t="s">
        <v>10</v>
      </c>
      <c r="D5" s="4" t="s">
        <v>79</v>
      </c>
      <c r="E5" s="4" t="s">
        <v>196</v>
      </c>
      <c r="F5" s="4" t="s">
        <v>8</v>
      </c>
      <c r="G5" s="4" t="s">
        <v>110</v>
      </c>
    </row>
    <row r="6" spans="2:10" ht="18" customHeight="1" thickTop="1" x14ac:dyDescent="0.3">
      <c r="B6" s="11" t="s">
        <v>12</v>
      </c>
      <c r="C6" s="6" t="s">
        <v>261</v>
      </c>
      <c r="D6" s="6" t="s">
        <v>267</v>
      </c>
      <c r="E6" s="6" t="s">
        <v>271</v>
      </c>
      <c r="F6" s="6" t="s">
        <v>16</v>
      </c>
      <c r="G6" s="6" t="s">
        <v>279</v>
      </c>
    </row>
    <row r="7" spans="2:10" ht="18" thickBot="1" x14ac:dyDescent="0.35">
      <c r="B7" s="3" t="s">
        <v>69</v>
      </c>
      <c r="C7" s="4" t="s">
        <v>8</v>
      </c>
      <c r="D7" s="4" t="s">
        <v>88</v>
      </c>
      <c r="E7" s="4" t="s">
        <v>47</v>
      </c>
      <c r="F7" s="4" t="s">
        <v>89</v>
      </c>
      <c r="G7" s="4" t="s">
        <v>11</v>
      </c>
    </row>
    <row r="8" spans="2:10" ht="18" customHeight="1" thickTop="1" x14ac:dyDescent="0.3">
      <c r="B8" s="11" t="s">
        <v>18</v>
      </c>
      <c r="C8" s="6" t="s">
        <v>260</v>
      </c>
      <c r="D8" s="6" t="s">
        <v>268</v>
      </c>
      <c r="E8" s="6" t="s">
        <v>272</v>
      </c>
      <c r="F8" s="6" t="s">
        <v>276</v>
      </c>
      <c r="G8" s="6" t="s">
        <v>268</v>
      </c>
    </row>
    <row r="9" spans="2:10" ht="18" thickBot="1" x14ac:dyDescent="0.35">
      <c r="B9" s="3" t="s">
        <v>70</v>
      </c>
      <c r="C9" s="4" t="s">
        <v>17</v>
      </c>
      <c r="D9" s="4" t="s">
        <v>9</v>
      </c>
      <c r="E9" s="4" t="s">
        <v>67</v>
      </c>
      <c r="F9" s="4" t="s">
        <v>48</v>
      </c>
      <c r="G9" s="4" t="s">
        <v>9</v>
      </c>
    </row>
    <row r="10" spans="2:10" ht="18.600000000000001" thickTop="1" thickBot="1" x14ac:dyDescent="0.35">
      <c r="B10" s="5" t="s">
        <v>71</v>
      </c>
      <c r="C10" s="117" t="s">
        <v>23</v>
      </c>
      <c r="D10" s="118"/>
      <c r="E10" s="118"/>
      <c r="F10" s="118"/>
      <c r="G10" s="119"/>
    </row>
    <row r="11" spans="2:10" ht="18" customHeight="1" thickTop="1" x14ac:dyDescent="0.3">
      <c r="B11" s="11" t="s">
        <v>24</v>
      </c>
      <c r="C11" s="6" t="s">
        <v>263</v>
      </c>
      <c r="D11" s="6" t="s">
        <v>269</v>
      </c>
      <c r="E11" s="6" t="s">
        <v>273</v>
      </c>
      <c r="F11" s="6" t="s">
        <v>278</v>
      </c>
      <c r="G11" s="6" t="s">
        <v>281</v>
      </c>
    </row>
    <row r="12" spans="2:10" ht="18" thickBot="1" x14ac:dyDescent="0.35">
      <c r="B12" s="3" t="s">
        <v>72</v>
      </c>
      <c r="C12" s="4" t="s">
        <v>46</v>
      </c>
      <c r="D12" s="4" t="s">
        <v>35</v>
      </c>
      <c r="E12" s="4" t="s">
        <v>36</v>
      </c>
      <c r="F12" s="4" t="s">
        <v>97</v>
      </c>
      <c r="G12" s="4" t="s">
        <v>21</v>
      </c>
    </row>
    <row r="13" spans="2:10" ht="18" thickTop="1" x14ac:dyDescent="0.3">
      <c r="B13" s="11" t="s">
        <v>30</v>
      </c>
      <c r="C13" s="6" t="s">
        <v>265</v>
      </c>
      <c r="D13" s="6" t="s">
        <v>101</v>
      </c>
      <c r="E13" s="6" t="s">
        <v>25</v>
      </c>
      <c r="F13" s="6" t="s">
        <v>277</v>
      </c>
      <c r="G13" s="6" t="s">
        <v>280</v>
      </c>
    </row>
    <row r="14" spans="2:10" ht="18" thickBot="1" x14ac:dyDescent="0.35">
      <c r="B14" s="3" t="s">
        <v>73</v>
      </c>
      <c r="C14" s="4" t="s">
        <v>256</v>
      </c>
      <c r="D14" s="4" t="s">
        <v>27</v>
      </c>
      <c r="E14" s="4" t="s">
        <v>28</v>
      </c>
      <c r="F14" s="4" t="s">
        <v>222</v>
      </c>
      <c r="G14" s="4" t="s">
        <v>38</v>
      </c>
    </row>
    <row r="15" spans="2:10" ht="18" thickTop="1" x14ac:dyDescent="0.3">
      <c r="B15" s="11" t="s">
        <v>39</v>
      </c>
      <c r="C15" s="6" t="s">
        <v>264</v>
      </c>
      <c r="D15" s="6" t="s">
        <v>266</v>
      </c>
      <c r="E15" s="6" t="s">
        <v>19</v>
      </c>
      <c r="F15" s="6" t="s">
        <v>262</v>
      </c>
      <c r="G15" s="6" t="s">
        <v>40</v>
      </c>
    </row>
    <row r="16" spans="2:10" ht="18" thickBot="1" x14ac:dyDescent="0.35">
      <c r="B16" s="3" t="s">
        <v>74</v>
      </c>
      <c r="C16" s="4" t="s">
        <v>35</v>
      </c>
      <c r="D16" s="4" t="s">
        <v>95</v>
      </c>
      <c r="E16" s="4" t="s">
        <v>10</v>
      </c>
      <c r="F16" s="4" t="s">
        <v>90</v>
      </c>
      <c r="G16" s="4" t="s">
        <v>49</v>
      </c>
    </row>
    <row r="17" spans="2:7" ht="18.600000000000001" thickTop="1" thickBot="1" x14ac:dyDescent="0.35">
      <c r="B17" s="5" t="s">
        <v>211</v>
      </c>
      <c r="C17" s="117" t="s">
        <v>160</v>
      </c>
      <c r="D17" s="118"/>
      <c r="E17" s="118"/>
      <c r="F17" s="118"/>
      <c r="G17" s="119"/>
    </row>
    <row r="18" spans="2:7" ht="18" customHeight="1" thickTop="1" x14ac:dyDescent="0.3">
      <c r="B18" s="11" t="s">
        <v>5</v>
      </c>
      <c r="C18" s="11"/>
      <c r="D18" s="11"/>
      <c r="E18" s="37"/>
      <c r="F18" s="44"/>
      <c r="G18" s="45"/>
    </row>
    <row r="19" spans="2:7" ht="18" thickBot="1" x14ac:dyDescent="0.35">
      <c r="B19" s="3" t="s">
        <v>146</v>
      </c>
      <c r="C19" s="4"/>
      <c r="D19" s="4"/>
      <c r="E19" s="55"/>
      <c r="F19" s="57"/>
      <c r="G19" s="57"/>
    </row>
    <row r="20" spans="2:7" ht="18" thickTop="1" x14ac:dyDescent="0.3">
      <c r="B20" s="11" t="s">
        <v>12</v>
      </c>
      <c r="C20" s="6"/>
      <c r="D20" s="6"/>
      <c r="E20" s="37"/>
      <c r="F20" s="44"/>
      <c r="G20" s="44"/>
    </row>
    <row r="21" spans="2:7" ht="18" thickBot="1" x14ac:dyDescent="0.35">
      <c r="B21" s="3" t="s">
        <v>147</v>
      </c>
      <c r="C21" s="4"/>
      <c r="D21" s="4"/>
      <c r="E21" s="55"/>
      <c r="F21" s="57"/>
      <c r="G21" s="57"/>
    </row>
    <row r="22" spans="2:7" ht="18.600000000000001" thickTop="1" thickBot="1" x14ac:dyDescent="0.35">
      <c r="B22" s="5" t="s">
        <v>148</v>
      </c>
      <c r="C22" s="145" t="s">
        <v>23</v>
      </c>
      <c r="D22" s="146"/>
      <c r="E22" s="146"/>
      <c r="F22" s="146"/>
      <c r="G22" s="147"/>
    </row>
    <row r="23" spans="2:7" ht="18" customHeight="1" thickTop="1" x14ac:dyDescent="0.3">
      <c r="B23" s="11" t="s">
        <v>18</v>
      </c>
      <c r="C23" s="11"/>
      <c r="D23" s="11"/>
      <c r="E23" s="11"/>
      <c r="F23" s="95"/>
      <c r="G23" s="54"/>
    </row>
    <row r="24" spans="2:7" ht="18" thickBot="1" x14ac:dyDescent="0.35">
      <c r="B24" s="3" t="s">
        <v>149</v>
      </c>
      <c r="C24" s="4"/>
      <c r="D24" s="4"/>
      <c r="E24" s="4"/>
      <c r="F24" s="55"/>
      <c r="G24" s="57"/>
    </row>
    <row r="25" spans="2:7" ht="18" thickTop="1" x14ac:dyDescent="0.3">
      <c r="B25" s="11" t="s">
        <v>24</v>
      </c>
      <c r="C25" s="11"/>
      <c r="D25" s="11"/>
      <c r="E25" s="11"/>
      <c r="F25" s="37"/>
      <c r="G25" s="44"/>
    </row>
    <row r="26" spans="2:7" ht="18" thickBot="1" x14ac:dyDescent="0.35">
      <c r="B26" s="3" t="s">
        <v>150</v>
      </c>
      <c r="C26" s="4"/>
      <c r="D26" s="4"/>
      <c r="E26" s="4"/>
      <c r="F26" s="55"/>
      <c r="G26" s="57"/>
    </row>
    <row r="27" spans="2:7" ht="15" thickTop="1" x14ac:dyDescent="0.3"/>
  </sheetData>
  <mergeCells count="4">
    <mergeCell ref="B2:G2"/>
    <mergeCell ref="C10:G10"/>
    <mergeCell ref="C17:G17"/>
    <mergeCell ref="C22:G22"/>
  </mergeCells>
  <pageMargins left="0.51181102362204722" right="0.51181102362204722" top="0.78740157480314965" bottom="0.78740157480314965" header="0.31496062992125984" footer="0.31496062992125984"/>
  <pageSetup paperSize="9" scale="70" fitToHeight="0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302D7C-6847-4A67-8910-F59FD0077B30}">
  <sheetPr codeName="Planilha17"/>
  <dimension ref="B1:J27"/>
  <sheetViews>
    <sheetView zoomScale="86" zoomScaleNormal="86" workbookViewId="0">
      <selection activeCell="B2" sqref="B2:G26"/>
    </sheetView>
  </sheetViews>
  <sheetFormatPr defaultRowHeight="14.4" x14ac:dyDescent="0.3"/>
  <cols>
    <col min="2" max="2" width="16.33203125" customWidth="1"/>
    <col min="3" max="7" width="30.6640625" customWidth="1"/>
    <col min="8" max="8" width="14.33203125" customWidth="1"/>
    <col min="9" max="9" width="14.6640625" customWidth="1"/>
    <col min="10" max="10" width="20.33203125" bestFit="1" customWidth="1"/>
  </cols>
  <sheetData>
    <row r="1" spans="2:10" ht="15" thickBot="1" x14ac:dyDescent="0.35"/>
    <row r="2" spans="2:10" ht="24" thickTop="1" thickBot="1" x14ac:dyDescent="0.35">
      <c r="B2" s="139" t="s">
        <v>221</v>
      </c>
      <c r="C2" s="140"/>
      <c r="D2" s="140"/>
      <c r="E2" s="140"/>
      <c r="F2" s="140"/>
      <c r="G2" s="141"/>
      <c r="H2" s="33"/>
      <c r="I2" s="33"/>
      <c r="J2" s="33"/>
    </row>
    <row r="3" spans="2:10" ht="18.600000000000001" thickTop="1" thickBot="1" x14ac:dyDescent="0.35">
      <c r="B3" s="1"/>
      <c r="C3" s="2" t="s">
        <v>0</v>
      </c>
      <c r="D3" s="2" t="s">
        <v>1</v>
      </c>
      <c r="E3" s="2" t="s">
        <v>2</v>
      </c>
      <c r="F3" s="2" t="s">
        <v>3</v>
      </c>
      <c r="G3" s="2" t="s">
        <v>4</v>
      </c>
    </row>
    <row r="4" spans="2:10" ht="18" customHeight="1" thickTop="1" x14ac:dyDescent="0.3">
      <c r="B4" s="11" t="s">
        <v>5</v>
      </c>
      <c r="C4" s="6" t="s">
        <v>153</v>
      </c>
      <c r="D4" s="6" t="s">
        <v>40</v>
      </c>
      <c r="E4" s="6" t="s">
        <v>65</v>
      </c>
      <c r="F4" s="6" t="s">
        <v>62</v>
      </c>
      <c r="G4" s="6" t="s">
        <v>61</v>
      </c>
    </row>
    <row r="5" spans="2:10" ht="18" thickBot="1" x14ac:dyDescent="0.35">
      <c r="B5" s="3" t="s">
        <v>138</v>
      </c>
      <c r="C5" s="4" t="s">
        <v>154</v>
      </c>
      <c r="D5" s="4" t="s">
        <v>92</v>
      </c>
      <c r="E5" s="4" t="s">
        <v>48</v>
      </c>
      <c r="F5" s="4" t="s">
        <v>37</v>
      </c>
      <c r="G5" s="4" t="s">
        <v>107</v>
      </c>
    </row>
    <row r="6" spans="2:10" ht="18" customHeight="1" thickTop="1" x14ac:dyDescent="0.3">
      <c r="B6" s="11" t="s">
        <v>12</v>
      </c>
      <c r="C6" s="6" t="s">
        <v>153</v>
      </c>
      <c r="D6" s="6" t="s">
        <v>25</v>
      </c>
      <c r="E6" s="6" t="s">
        <v>65</v>
      </c>
      <c r="F6" s="6" t="s">
        <v>63</v>
      </c>
      <c r="G6" s="6" t="s">
        <v>61</v>
      </c>
    </row>
    <row r="7" spans="2:10" ht="18" thickBot="1" x14ac:dyDescent="0.35">
      <c r="B7" s="3" t="s">
        <v>139</v>
      </c>
      <c r="C7" s="4" t="s">
        <v>154</v>
      </c>
      <c r="D7" s="4" t="s">
        <v>56</v>
      </c>
      <c r="E7" s="4" t="s">
        <v>48</v>
      </c>
      <c r="F7" s="4" t="s">
        <v>9</v>
      </c>
      <c r="G7" s="4" t="s">
        <v>107</v>
      </c>
    </row>
    <row r="8" spans="2:10" ht="18" customHeight="1" thickTop="1" x14ac:dyDescent="0.3">
      <c r="B8" s="11" t="s">
        <v>18</v>
      </c>
      <c r="C8" s="6" t="s">
        <v>63</v>
      </c>
      <c r="D8" s="6" t="s">
        <v>25</v>
      </c>
      <c r="E8" s="6" t="s">
        <v>101</v>
      </c>
      <c r="F8" s="6" t="s">
        <v>63</v>
      </c>
      <c r="G8" s="6" t="s">
        <v>156</v>
      </c>
    </row>
    <row r="9" spans="2:10" ht="18" thickBot="1" x14ac:dyDescent="0.35">
      <c r="B9" s="3" t="s">
        <v>140</v>
      </c>
      <c r="C9" s="4" t="s">
        <v>110</v>
      </c>
      <c r="D9" s="4" t="s">
        <v>56</v>
      </c>
      <c r="E9" s="4" t="s">
        <v>27</v>
      </c>
      <c r="F9" s="4" t="s">
        <v>9</v>
      </c>
      <c r="G9" s="4" t="s">
        <v>157</v>
      </c>
    </row>
    <row r="10" spans="2:10" ht="18.600000000000001" thickTop="1" thickBot="1" x14ac:dyDescent="0.35">
      <c r="B10" s="5" t="s">
        <v>141</v>
      </c>
      <c r="C10" s="117" t="s">
        <v>23</v>
      </c>
      <c r="D10" s="118"/>
      <c r="E10" s="118"/>
      <c r="F10" s="118"/>
      <c r="G10" s="119"/>
    </row>
    <row r="11" spans="2:10" ht="18" customHeight="1" thickTop="1" x14ac:dyDescent="0.3">
      <c r="B11" s="11" t="s">
        <v>24</v>
      </c>
      <c r="C11" s="6" t="s">
        <v>94</v>
      </c>
      <c r="D11" s="124" t="s">
        <v>152</v>
      </c>
      <c r="E11" s="124" t="s">
        <v>152</v>
      </c>
      <c r="F11" s="124" t="s">
        <v>152</v>
      </c>
      <c r="G11" s="124" t="s">
        <v>152</v>
      </c>
    </row>
    <row r="12" spans="2:10" ht="18" thickBot="1" x14ac:dyDescent="0.35">
      <c r="B12" s="3" t="s">
        <v>142</v>
      </c>
      <c r="C12" s="4" t="s">
        <v>11</v>
      </c>
      <c r="D12" s="125"/>
      <c r="E12" s="125"/>
      <c r="F12" s="125"/>
      <c r="G12" s="125"/>
    </row>
    <row r="13" spans="2:10" ht="18" thickTop="1" x14ac:dyDescent="0.3">
      <c r="B13" s="11" t="s">
        <v>30</v>
      </c>
      <c r="C13" s="6" t="s">
        <v>94</v>
      </c>
      <c r="D13" s="11" t="s">
        <v>219</v>
      </c>
      <c r="E13" s="6" t="s">
        <v>16</v>
      </c>
      <c r="F13" s="6" t="s">
        <v>94</v>
      </c>
      <c r="G13" s="6" t="s">
        <v>62</v>
      </c>
    </row>
    <row r="14" spans="2:10" ht="18" thickBot="1" x14ac:dyDescent="0.35">
      <c r="B14" s="3" t="s">
        <v>143</v>
      </c>
      <c r="C14" s="4" t="s">
        <v>11</v>
      </c>
      <c r="D14" s="4" t="s">
        <v>79</v>
      </c>
      <c r="E14" s="4" t="s">
        <v>89</v>
      </c>
      <c r="F14" s="4" t="s">
        <v>47</v>
      </c>
      <c r="G14" s="4" t="s">
        <v>90</v>
      </c>
    </row>
    <row r="15" spans="2:10" ht="18" thickTop="1" x14ac:dyDescent="0.3">
      <c r="B15" s="11" t="s">
        <v>39</v>
      </c>
      <c r="C15" s="124" t="s">
        <v>152</v>
      </c>
      <c r="D15" s="11" t="s">
        <v>219</v>
      </c>
      <c r="E15" s="6" t="s">
        <v>101</v>
      </c>
      <c r="F15" s="6" t="s">
        <v>94</v>
      </c>
      <c r="G15" s="6" t="s">
        <v>62</v>
      </c>
    </row>
    <row r="16" spans="2:10" ht="18" thickBot="1" x14ac:dyDescent="0.35">
      <c r="B16" s="3" t="s">
        <v>144</v>
      </c>
      <c r="C16" s="125"/>
      <c r="D16" s="4" t="s">
        <v>79</v>
      </c>
      <c r="E16" s="4" t="s">
        <v>27</v>
      </c>
      <c r="F16" s="4" t="s">
        <v>47</v>
      </c>
      <c r="G16" s="4" t="s">
        <v>90</v>
      </c>
    </row>
    <row r="17" spans="2:7" ht="18.600000000000001" thickTop="1" thickBot="1" x14ac:dyDescent="0.35">
      <c r="B17" s="5" t="s">
        <v>145</v>
      </c>
      <c r="C17" s="117" t="s">
        <v>160</v>
      </c>
      <c r="D17" s="118"/>
      <c r="E17" s="118"/>
      <c r="F17" s="118"/>
      <c r="G17" s="119"/>
    </row>
    <row r="18" spans="2:7" ht="18" thickTop="1" x14ac:dyDescent="0.3">
      <c r="B18" s="11" t="s">
        <v>5</v>
      </c>
      <c r="C18" s="124" t="s">
        <v>152</v>
      </c>
      <c r="D18" s="6" t="s">
        <v>94</v>
      </c>
      <c r="E18" s="6" t="s">
        <v>65</v>
      </c>
      <c r="F18" s="6" t="s">
        <v>65</v>
      </c>
      <c r="G18" s="6" t="s">
        <v>64</v>
      </c>
    </row>
    <row r="19" spans="2:7" ht="18" thickBot="1" x14ac:dyDescent="0.35">
      <c r="B19" s="3" t="s">
        <v>146</v>
      </c>
      <c r="C19" s="125"/>
      <c r="D19" s="4" t="s">
        <v>35</v>
      </c>
      <c r="E19" s="4" t="s">
        <v>36</v>
      </c>
      <c r="F19" s="4" t="s">
        <v>48</v>
      </c>
      <c r="G19" s="4" t="s">
        <v>21</v>
      </c>
    </row>
    <row r="20" spans="2:7" ht="18" thickTop="1" x14ac:dyDescent="0.3">
      <c r="B20" s="11" t="s">
        <v>12</v>
      </c>
      <c r="C20" s="124" t="s">
        <v>152</v>
      </c>
      <c r="D20" s="124" t="s">
        <v>152</v>
      </c>
      <c r="E20" s="124" t="s">
        <v>152</v>
      </c>
      <c r="F20" s="124" t="s">
        <v>152</v>
      </c>
      <c r="G20" s="6" t="s">
        <v>64</v>
      </c>
    </row>
    <row r="21" spans="2:7" ht="18" thickBot="1" x14ac:dyDescent="0.35">
      <c r="B21" s="3" t="s">
        <v>147</v>
      </c>
      <c r="C21" s="125"/>
      <c r="D21" s="125"/>
      <c r="E21" s="125"/>
      <c r="F21" s="125"/>
      <c r="G21" s="4" t="s">
        <v>21</v>
      </c>
    </row>
    <row r="22" spans="2:7" ht="18.600000000000001" thickTop="1" thickBot="1" x14ac:dyDescent="0.35">
      <c r="B22" s="5" t="s">
        <v>148</v>
      </c>
      <c r="C22" s="117" t="s">
        <v>23</v>
      </c>
      <c r="D22" s="118"/>
      <c r="E22" s="118"/>
      <c r="F22" s="118"/>
      <c r="G22" s="119"/>
    </row>
    <row r="23" spans="2:7" ht="18" thickTop="1" x14ac:dyDescent="0.3">
      <c r="B23" s="11" t="s">
        <v>18</v>
      </c>
      <c r="C23" s="6" t="s">
        <v>63</v>
      </c>
      <c r="D23" s="6" t="s">
        <v>175</v>
      </c>
      <c r="E23" s="6" t="s">
        <v>179</v>
      </c>
      <c r="F23" s="6" t="s">
        <v>62</v>
      </c>
      <c r="G23" s="6" t="s">
        <v>163</v>
      </c>
    </row>
    <row r="24" spans="2:7" ht="18" thickBot="1" x14ac:dyDescent="0.35">
      <c r="B24" s="3" t="s">
        <v>149</v>
      </c>
      <c r="C24" s="4" t="s">
        <v>110</v>
      </c>
      <c r="D24" s="4" t="s">
        <v>194</v>
      </c>
      <c r="E24" s="4" t="s">
        <v>28</v>
      </c>
      <c r="F24" s="4" t="s">
        <v>37</v>
      </c>
      <c r="G24" s="4" t="s">
        <v>129</v>
      </c>
    </row>
    <row r="25" spans="2:7" ht="18" thickTop="1" x14ac:dyDescent="0.3">
      <c r="B25" s="11" t="s">
        <v>24</v>
      </c>
      <c r="C25" s="6" t="s">
        <v>63</v>
      </c>
      <c r="D25" s="6" t="s">
        <v>175</v>
      </c>
      <c r="E25" s="6" t="s">
        <v>163</v>
      </c>
      <c r="F25" s="6" t="s">
        <v>62</v>
      </c>
      <c r="G25" s="6" t="s">
        <v>163</v>
      </c>
    </row>
    <row r="26" spans="2:7" ht="18" thickBot="1" x14ac:dyDescent="0.35">
      <c r="B26" s="3" t="s">
        <v>150</v>
      </c>
      <c r="C26" s="4" t="s">
        <v>110</v>
      </c>
      <c r="D26" s="4" t="s">
        <v>194</v>
      </c>
      <c r="E26" s="4" t="s">
        <v>129</v>
      </c>
      <c r="F26" s="4" t="s">
        <v>37</v>
      </c>
      <c r="G26" s="4" t="s">
        <v>129</v>
      </c>
    </row>
    <row r="27" spans="2:7" ht="15" thickTop="1" x14ac:dyDescent="0.3"/>
  </sheetData>
  <mergeCells count="14">
    <mergeCell ref="C15:C16"/>
    <mergeCell ref="C17:G17"/>
    <mergeCell ref="C18:C19"/>
    <mergeCell ref="C20:C21"/>
    <mergeCell ref="C22:G22"/>
    <mergeCell ref="D20:D21"/>
    <mergeCell ref="E20:E21"/>
    <mergeCell ref="F20:F21"/>
    <mergeCell ref="B2:G2"/>
    <mergeCell ref="C10:G10"/>
    <mergeCell ref="D11:D12"/>
    <mergeCell ref="E11:E12"/>
    <mergeCell ref="F11:F12"/>
    <mergeCell ref="G11:G12"/>
  </mergeCells>
  <printOptions horizontalCentered="1"/>
  <pageMargins left="0.51181102362204722" right="0.51181102362204722" top="0.78740157480314965" bottom="0.78740157480314965" header="0.31496062992125984" footer="0.31496062992125984"/>
  <pageSetup paperSize="9" scale="70" fitToHeight="0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36F45-DA5B-45D4-A725-1888930CC253}">
  <sheetPr codeName="Planilha20"/>
  <dimension ref="B1:J29"/>
  <sheetViews>
    <sheetView zoomScale="86" zoomScaleNormal="86" workbookViewId="0">
      <selection activeCell="E14" sqref="E14"/>
    </sheetView>
  </sheetViews>
  <sheetFormatPr defaultRowHeight="14.4" x14ac:dyDescent="0.3"/>
  <cols>
    <col min="2" max="2" width="16.33203125" customWidth="1"/>
    <col min="3" max="7" width="30.6640625" customWidth="1"/>
    <col min="8" max="8" width="14.33203125" customWidth="1"/>
    <col min="9" max="9" width="14.6640625" customWidth="1"/>
    <col min="10" max="10" width="20.33203125" bestFit="1" customWidth="1"/>
  </cols>
  <sheetData>
    <row r="1" spans="2:10" ht="15" thickBot="1" x14ac:dyDescent="0.35"/>
    <row r="2" spans="2:10" ht="27" customHeight="1" thickTop="1" thickBot="1" x14ac:dyDescent="0.35">
      <c r="B2" s="139" t="s">
        <v>214</v>
      </c>
      <c r="C2" s="140"/>
      <c r="D2" s="140"/>
      <c r="E2" s="140"/>
      <c r="F2" s="140"/>
      <c r="G2" s="141"/>
      <c r="H2" s="33"/>
      <c r="I2" s="33"/>
      <c r="J2" s="33"/>
    </row>
    <row r="3" spans="2:10" ht="18.600000000000001" thickTop="1" thickBot="1" x14ac:dyDescent="0.35">
      <c r="B3" s="1"/>
      <c r="C3" s="2" t="s">
        <v>0</v>
      </c>
      <c r="D3" s="2" t="s">
        <v>1</v>
      </c>
      <c r="E3" s="2" t="s">
        <v>2</v>
      </c>
      <c r="F3" s="2" t="s">
        <v>3</v>
      </c>
      <c r="G3" s="2" t="s">
        <v>4</v>
      </c>
    </row>
    <row r="4" spans="2:10" ht="18" customHeight="1" thickTop="1" x14ac:dyDescent="0.3">
      <c r="B4" s="11" t="s">
        <v>5</v>
      </c>
      <c r="C4" s="6" t="s">
        <v>153</v>
      </c>
      <c r="D4" s="6" t="s">
        <v>25</v>
      </c>
      <c r="E4" s="6" t="s">
        <v>64</v>
      </c>
      <c r="F4" s="6" t="s">
        <v>101</v>
      </c>
      <c r="G4" s="6" t="s">
        <v>61</v>
      </c>
    </row>
    <row r="5" spans="2:10" ht="18" thickBot="1" x14ac:dyDescent="0.35">
      <c r="B5" s="3" t="s">
        <v>138</v>
      </c>
      <c r="C5" s="4" t="s">
        <v>154</v>
      </c>
      <c r="D5" s="4" t="s">
        <v>56</v>
      </c>
      <c r="E5" s="4" t="s">
        <v>21</v>
      </c>
      <c r="F5" s="4" t="s">
        <v>27</v>
      </c>
      <c r="G5" s="4" t="s">
        <v>107</v>
      </c>
    </row>
    <row r="6" spans="2:10" ht="18" customHeight="1" thickTop="1" x14ac:dyDescent="0.3">
      <c r="B6" s="11" t="s">
        <v>12</v>
      </c>
      <c r="C6" s="6" t="s">
        <v>153</v>
      </c>
      <c r="D6" s="6" t="s">
        <v>25</v>
      </c>
      <c r="E6" s="6" t="s">
        <v>64</v>
      </c>
      <c r="F6" s="6" t="s">
        <v>101</v>
      </c>
      <c r="G6" s="6" t="s">
        <v>61</v>
      </c>
    </row>
    <row r="7" spans="2:10" ht="18" thickBot="1" x14ac:dyDescent="0.35">
      <c r="B7" s="3" t="s">
        <v>139</v>
      </c>
      <c r="C7" s="4" t="s">
        <v>154</v>
      </c>
      <c r="D7" s="4" t="s">
        <v>56</v>
      </c>
      <c r="E7" s="4" t="s">
        <v>21</v>
      </c>
      <c r="F7" s="4" t="s">
        <v>27</v>
      </c>
      <c r="G7" s="4" t="s">
        <v>107</v>
      </c>
    </row>
    <row r="8" spans="2:10" ht="18" customHeight="1" thickTop="1" x14ac:dyDescent="0.3">
      <c r="B8" s="11" t="s">
        <v>18</v>
      </c>
      <c r="C8" s="6" t="s">
        <v>94</v>
      </c>
      <c r="D8" s="6" t="s">
        <v>63</v>
      </c>
      <c r="E8" s="6" t="s">
        <v>94</v>
      </c>
      <c r="F8" s="6" t="s">
        <v>62</v>
      </c>
      <c r="G8" s="6" t="s">
        <v>94</v>
      </c>
    </row>
    <row r="9" spans="2:10" ht="18" thickBot="1" x14ac:dyDescent="0.35">
      <c r="B9" s="3" t="s">
        <v>140</v>
      </c>
      <c r="C9" s="4" t="s">
        <v>11</v>
      </c>
      <c r="D9" s="4" t="s">
        <v>9</v>
      </c>
      <c r="E9" s="4" t="s">
        <v>47</v>
      </c>
      <c r="F9" s="4" t="s">
        <v>37</v>
      </c>
      <c r="G9" s="4" t="s">
        <v>11</v>
      </c>
    </row>
    <row r="10" spans="2:10" ht="18.600000000000001" thickTop="1" thickBot="1" x14ac:dyDescent="0.35">
      <c r="B10" s="5" t="s">
        <v>141</v>
      </c>
      <c r="C10" s="117" t="s">
        <v>23</v>
      </c>
      <c r="D10" s="118"/>
      <c r="E10" s="118"/>
      <c r="F10" s="118"/>
      <c r="G10" s="119"/>
    </row>
    <row r="11" spans="2:10" ht="18" customHeight="1" thickTop="1" x14ac:dyDescent="0.3">
      <c r="B11" s="11" t="s">
        <v>24</v>
      </c>
      <c r="C11" s="6" t="s">
        <v>63</v>
      </c>
      <c r="D11" s="6" t="s">
        <v>63</v>
      </c>
      <c r="E11" s="6" t="s">
        <v>94</v>
      </c>
      <c r="F11" s="6" t="s">
        <v>62</v>
      </c>
      <c r="G11" s="6" t="s">
        <v>94</v>
      </c>
    </row>
    <row r="12" spans="2:10" ht="18" thickBot="1" x14ac:dyDescent="0.35">
      <c r="B12" s="3" t="s">
        <v>142</v>
      </c>
      <c r="C12" s="4" t="s">
        <v>110</v>
      </c>
      <c r="D12" s="4" t="s">
        <v>9</v>
      </c>
      <c r="E12" s="4" t="s">
        <v>47</v>
      </c>
      <c r="F12" s="4" t="s">
        <v>37</v>
      </c>
      <c r="G12" s="4" t="s">
        <v>11</v>
      </c>
    </row>
    <row r="13" spans="2:10" ht="18" thickTop="1" x14ac:dyDescent="0.3">
      <c r="B13" s="11" t="s">
        <v>30</v>
      </c>
      <c r="C13" s="6" t="s">
        <v>94</v>
      </c>
      <c r="D13" s="11" t="s">
        <v>61</v>
      </c>
      <c r="E13" s="6" t="s">
        <v>65</v>
      </c>
      <c r="F13" s="6" t="s">
        <v>16</v>
      </c>
      <c r="G13" s="6" t="s">
        <v>63</v>
      </c>
    </row>
    <row r="14" spans="2:10" ht="18" thickBot="1" x14ac:dyDescent="0.35">
      <c r="B14" s="3" t="s">
        <v>143</v>
      </c>
      <c r="C14" s="4" t="s">
        <v>11</v>
      </c>
      <c r="D14" s="4" t="s">
        <v>79</v>
      </c>
      <c r="E14" s="4" t="s">
        <v>36</v>
      </c>
      <c r="F14" s="4" t="s">
        <v>89</v>
      </c>
      <c r="G14" s="4" t="s">
        <v>9</v>
      </c>
    </row>
    <row r="15" spans="2:10" ht="18" thickTop="1" x14ac:dyDescent="0.3">
      <c r="B15" s="11" t="s">
        <v>39</v>
      </c>
      <c r="C15" s="6" t="s">
        <v>63</v>
      </c>
      <c r="D15" s="11" t="s">
        <v>61</v>
      </c>
      <c r="E15" s="6" t="s">
        <v>65</v>
      </c>
      <c r="F15" s="6" t="s">
        <v>63</v>
      </c>
      <c r="G15" s="6" t="s">
        <v>63</v>
      </c>
    </row>
    <row r="16" spans="2:10" ht="18" thickBot="1" x14ac:dyDescent="0.35">
      <c r="B16" s="3" t="s">
        <v>210</v>
      </c>
      <c r="C16" s="4" t="s">
        <v>110</v>
      </c>
      <c r="D16" s="4" t="s">
        <v>79</v>
      </c>
      <c r="E16" s="4" t="s">
        <v>36</v>
      </c>
      <c r="F16" s="4" t="s">
        <v>110</v>
      </c>
      <c r="G16" s="4" t="s">
        <v>9</v>
      </c>
    </row>
    <row r="17" spans="2:7" ht="18.600000000000001" thickTop="1" thickBot="1" x14ac:dyDescent="0.35">
      <c r="B17" s="5" t="s">
        <v>211</v>
      </c>
      <c r="C17" s="117" t="s">
        <v>160</v>
      </c>
      <c r="D17" s="118"/>
      <c r="E17" s="118"/>
      <c r="F17" s="118"/>
      <c r="G17" s="119"/>
    </row>
    <row r="18" spans="2:7" ht="18" thickTop="1" x14ac:dyDescent="0.3">
      <c r="B18" s="11" t="s">
        <v>5</v>
      </c>
      <c r="C18" s="142" t="s">
        <v>212</v>
      </c>
      <c r="D18" s="142" t="s">
        <v>213</v>
      </c>
      <c r="E18" s="6" t="s">
        <v>19</v>
      </c>
      <c r="F18" s="124" t="s">
        <v>208</v>
      </c>
      <c r="G18" s="70"/>
    </row>
    <row r="19" spans="2:7" ht="18" thickBot="1" x14ac:dyDescent="0.35">
      <c r="B19" s="3" t="s">
        <v>146</v>
      </c>
      <c r="C19" s="144"/>
      <c r="D19" s="144"/>
      <c r="E19" s="4" t="s">
        <v>56</v>
      </c>
      <c r="F19" s="125"/>
      <c r="G19" s="71"/>
    </row>
    <row r="20" spans="2:7" ht="18" thickTop="1" x14ac:dyDescent="0.3">
      <c r="B20" s="11" t="s">
        <v>12</v>
      </c>
      <c r="C20" s="144"/>
      <c r="D20" s="144"/>
      <c r="E20" s="6" t="s">
        <v>19</v>
      </c>
      <c r="F20" s="124" t="s">
        <v>208</v>
      </c>
      <c r="G20" s="70"/>
    </row>
    <row r="21" spans="2:7" ht="18" thickBot="1" x14ac:dyDescent="0.35">
      <c r="B21" s="3" t="s">
        <v>147</v>
      </c>
      <c r="C21" s="144"/>
      <c r="D21" s="144"/>
      <c r="E21" s="4" t="s">
        <v>56</v>
      </c>
      <c r="F21" s="125"/>
      <c r="G21" s="71"/>
    </row>
    <row r="22" spans="2:7" ht="18.600000000000001" thickTop="1" thickBot="1" x14ac:dyDescent="0.35">
      <c r="B22" s="5" t="s">
        <v>148</v>
      </c>
      <c r="C22" s="144"/>
      <c r="D22" s="144"/>
      <c r="E22" s="117" t="s">
        <v>23</v>
      </c>
      <c r="F22" s="118"/>
      <c r="G22" s="119"/>
    </row>
    <row r="23" spans="2:7" ht="18" thickTop="1" x14ac:dyDescent="0.3">
      <c r="B23" s="11" t="s">
        <v>18</v>
      </c>
      <c r="C23" s="144"/>
      <c r="D23" s="144"/>
      <c r="E23" s="124" t="s">
        <v>208</v>
      </c>
      <c r="F23" s="142" t="s">
        <v>209</v>
      </c>
      <c r="G23" s="70"/>
    </row>
    <row r="24" spans="2:7" ht="18" thickBot="1" x14ac:dyDescent="0.35">
      <c r="B24" s="3" t="s">
        <v>149</v>
      </c>
      <c r="C24" s="144"/>
      <c r="D24" s="144"/>
      <c r="E24" s="125"/>
      <c r="F24" s="143"/>
      <c r="G24" s="71"/>
    </row>
    <row r="25" spans="2:7" ht="18" thickTop="1" x14ac:dyDescent="0.3">
      <c r="B25" s="11" t="s">
        <v>24</v>
      </c>
      <c r="C25" s="144"/>
      <c r="D25" s="144"/>
      <c r="E25" s="124" t="s">
        <v>208</v>
      </c>
      <c r="F25" s="142" t="s">
        <v>209</v>
      </c>
      <c r="G25" s="70"/>
    </row>
    <row r="26" spans="2:7" ht="18" thickBot="1" x14ac:dyDescent="0.35">
      <c r="B26" s="3" t="s">
        <v>150</v>
      </c>
      <c r="C26" s="143"/>
      <c r="D26" s="143"/>
      <c r="E26" s="125"/>
      <c r="F26" s="143"/>
      <c r="G26" s="71"/>
    </row>
    <row r="27" spans="2:7" ht="18" thickTop="1" x14ac:dyDescent="0.3">
      <c r="B27" s="11" t="s">
        <v>30</v>
      </c>
      <c r="C27" s="70"/>
      <c r="D27" s="70"/>
      <c r="E27" s="70"/>
      <c r="F27" s="70"/>
      <c r="G27" s="70"/>
    </row>
    <row r="28" spans="2:7" ht="18" thickBot="1" x14ac:dyDescent="0.35">
      <c r="B28" s="3" t="s">
        <v>151</v>
      </c>
      <c r="C28" s="71"/>
      <c r="D28" s="71"/>
      <c r="E28" s="71"/>
      <c r="F28" s="71"/>
      <c r="G28" s="71"/>
    </row>
    <row r="29" spans="2:7" ht="15" thickTop="1" x14ac:dyDescent="0.3"/>
  </sheetData>
  <mergeCells count="12">
    <mergeCell ref="C18:C26"/>
    <mergeCell ref="D18:D26"/>
    <mergeCell ref="C17:G17"/>
    <mergeCell ref="B2:G2"/>
    <mergeCell ref="C10:G10"/>
    <mergeCell ref="E23:E24"/>
    <mergeCell ref="E25:E26"/>
    <mergeCell ref="F18:F19"/>
    <mergeCell ref="F20:F21"/>
    <mergeCell ref="F23:F24"/>
    <mergeCell ref="F25:F26"/>
    <mergeCell ref="E22:G22"/>
  </mergeCells>
  <pageMargins left="0.51181102362204722" right="0.51181102362204722" top="0.78740157480314965" bottom="0.78740157480314965" header="0.31496062992125984" footer="0.31496062992125984"/>
  <pageSetup paperSize="9" scale="70" fitToHeight="0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E5FA9-6FBD-4819-AF12-B2AA0F30101B}">
  <sheetPr codeName="Planilha21"/>
  <dimension ref="B1:J27"/>
  <sheetViews>
    <sheetView zoomScale="86" zoomScaleNormal="86" workbookViewId="0">
      <selection activeCell="B2" sqref="B2:G26"/>
    </sheetView>
  </sheetViews>
  <sheetFormatPr defaultRowHeight="14.4" x14ac:dyDescent="0.3"/>
  <cols>
    <col min="2" max="2" width="16.33203125" customWidth="1"/>
    <col min="3" max="7" width="30.6640625" customWidth="1"/>
    <col min="8" max="8" width="14.33203125" customWidth="1"/>
    <col min="9" max="9" width="14.6640625" customWidth="1"/>
    <col min="10" max="10" width="20.33203125" bestFit="1" customWidth="1"/>
  </cols>
  <sheetData>
    <row r="1" spans="2:10" ht="15" thickBot="1" x14ac:dyDescent="0.35"/>
    <row r="2" spans="2:10" ht="27" customHeight="1" thickTop="1" thickBot="1" x14ac:dyDescent="0.35">
      <c r="B2" s="139" t="s">
        <v>226</v>
      </c>
      <c r="C2" s="140"/>
      <c r="D2" s="140"/>
      <c r="E2" s="140"/>
      <c r="F2" s="140"/>
      <c r="G2" s="141"/>
      <c r="H2" s="33"/>
      <c r="I2" s="33"/>
      <c r="J2" s="33"/>
    </row>
    <row r="3" spans="2:10" ht="18.600000000000001" thickTop="1" thickBot="1" x14ac:dyDescent="0.35">
      <c r="B3" s="1"/>
      <c r="C3" s="2" t="s">
        <v>0</v>
      </c>
      <c r="D3" s="2" t="s">
        <v>1</v>
      </c>
      <c r="E3" s="2" t="s">
        <v>2</v>
      </c>
      <c r="F3" s="2" t="s">
        <v>3</v>
      </c>
      <c r="G3" s="2" t="s">
        <v>4</v>
      </c>
    </row>
    <row r="4" spans="2:10" ht="18" customHeight="1" thickTop="1" x14ac:dyDescent="0.3">
      <c r="B4" s="11" t="s">
        <v>5</v>
      </c>
      <c r="C4" s="6" t="s">
        <v>42</v>
      </c>
      <c r="D4" s="6" t="s">
        <v>43</v>
      </c>
      <c r="E4" s="6" t="s">
        <v>254</v>
      </c>
      <c r="F4" s="6" t="s">
        <v>55</v>
      </c>
      <c r="G4" s="6" t="s">
        <v>86</v>
      </c>
    </row>
    <row r="5" spans="2:10" ht="18" thickBot="1" x14ac:dyDescent="0.35">
      <c r="B5" s="3" t="s">
        <v>68</v>
      </c>
      <c r="C5" s="4" t="s">
        <v>17</v>
      </c>
      <c r="D5" s="4" t="s">
        <v>53</v>
      </c>
      <c r="E5" s="4" t="s">
        <v>196</v>
      </c>
      <c r="F5" s="4" t="s">
        <v>8</v>
      </c>
      <c r="G5" s="4" t="s">
        <v>21</v>
      </c>
    </row>
    <row r="6" spans="2:10" ht="18" customHeight="1" thickTop="1" x14ac:dyDescent="0.3">
      <c r="B6" s="11" t="s">
        <v>12</v>
      </c>
      <c r="C6" s="6" t="s">
        <v>6</v>
      </c>
      <c r="D6" s="6" t="s">
        <v>87</v>
      </c>
      <c r="E6" s="6" t="s">
        <v>13</v>
      </c>
      <c r="F6" s="6" t="s">
        <v>33</v>
      </c>
      <c r="G6" s="6" t="s">
        <v>57</v>
      </c>
    </row>
    <row r="7" spans="2:10" ht="18" thickBot="1" x14ac:dyDescent="0.35">
      <c r="B7" s="3" t="s">
        <v>69</v>
      </c>
      <c r="C7" s="4" t="s">
        <v>8</v>
      </c>
      <c r="D7" s="4" t="s">
        <v>88</v>
      </c>
      <c r="E7" s="4" t="s">
        <v>47</v>
      </c>
      <c r="F7" s="4" t="s">
        <v>222</v>
      </c>
      <c r="G7" s="4" t="s">
        <v>11</v>
      </c>
    </row>
    <row r="8" spans="2:10" ht="18" customHeight="1" thickTop="1" x14ac:dyDescent="0.3">
      <c r="B8" s="11" t="s">
        <v>18</v>
      </c>
      <c r="C8" s="6" t="s">
        <v>41</v>
      </c>
      <c r="D8" s="6" t="s">
        <v>7</v>
      </c>
      <c r="E8" s="6" t="s">
        <v>44</v>
      </c>
      <c r="F8" s="6" t="s">
        <v>20</v>
      </c>
      <c r="G8" s="6" t="s">
        <v>7</v>
      </c>
    </row>
    <row r="9" spans="2:10" ht="18" thickBot="1" x14ac:dyDescent="0.35">
      <c r="B9" s="3" t="s">
        <v>70</v>
      </c>
      <c r="C9" s="4" t="s">
        <v>46</v>
      </c>
      <c r="D9" s="4" t="s">
        <v>9</v>
      </c>
      <c r="E9" s="4" t="s">
        <v>67</v>
      </c>
      <c r="F9" s="4" t="s">
        <v>48</v>
      </c>
      <c r="G9" s="4" t="s">
        <v>9</v>
      </c>
    </row>
    <row r="10" spans="2:10" ht="18.600000000000001" thickTop="1" thickBot="1" x14ac:dyDescent="0.35">
      <c r="B10" s="5" t="s">
        <v>71</v>
      </c>
      <c r="C10" s="117" t="s">
        <v>23</v>
      </c>
      <c r="D10" s="118"/>
      <c r="E10" s="118"/>
      <c r="F10" s="118"/>
      <c r="G10" s="119"/>
    </row>
    <row r="11" spans="2:10" ht="18" customHeight="1" thickTop="1" x14ac:dyDescent="0.3">
      <c r="B11" s="11" t="s">
        <v>24</v>
      </c>
      <c r="C11" s="6" t="s">
        <v>54</v>
      </c>
      <c r="D11" s="6" t="s">
        <v>75</v>
      </c>
      <c r="E11" s="6" t="s">
        <v>32</v>
      </c>
      <c r="F11" s="6" t="s">
        <v>253</v>
      </c>
      <c r="G11" s="6" t="s">
        <v>43</v>
      </c>
    </row>
    <row r="12" spans="2:10" ht="18" thickBot="1" x14ac:dyDescent="0.35">
      <c r="B12" s="3" t="s">
        <v>72</v>
      </c>
      <c r="C12" s="4" t="s">
        <v>256</v>
      </c>
      <c r="D12" s="4" t="s">
        <v>35</v>
      </c>
      <c r="E12" s="4" t="s">
        <v>36</v>
      </c>
      <c r="F12" s="4" t="s">
        <v>97</v>
      </c>
      <c r="G12" s="4" t="s">
        <v>53</v>
      </c>
    </row>
    <row r="13" spans="2:10" ht="18" thickTop="1" x14ac:dyDescent="0.3">
      <c r="B13" s="11" t="s">
        <v>30</v>
      </c>
      <c r="C13" s="6" t="s">
        <v>31</v>
      </c>
      <c r="D13" s="6" t="s">
        <v>101</v>
      </c>
      <c r="E13" s="6" t="s">
        <v>25</v>
      </c>
      <c r="F13" s="6" t="s">
        <v>43</v>
      </c>
      <c r="G13" s="6" t="s">
        <v>34</v>
      </c>
    </row>
    <row r="14" spans="2:10" ht="18" thickBot="1" x14ac:dyDescent="0.35">
      <c r="B14" s="3" t="s">
        <v>73</v>
      </c>
      <c r="C14" s="4" t="s">
        <v>35</v>
      </c>
      <c r="D14" s="4" t="s">
        <v>27</v>
      </c>
      <c r="E14" s="4" t="s">
        <v>28</v>
      </c>
      <c r="F14" s="4" t="s">
        <v>53</v>
      </c>
      <c r="G14" s="4" t="s">
        <v>38</v>
      </c>
    </row>
    <row r="15" spans="2:10" ht="18" thickTop="1" x14ac:dyDescent="0.3">
      <c r="B15" s="11" t="s">
        <v>39</v>
      </c>
      <c r="C15" s="6" t="s">
        <v>19</v>
      </c>
      <c r="D15" s="6" t="s">
        <v>15</v>
      </c>
      <c r="E15" s="6" t="s">
        <v>43</v>
      </c>
      <c r="F15" s="6" t="s">
        <v>14</v>
      </c>
      <c r="G15" s="6" t="s">
        <v>40</v>
      </c>
    </row>
    <row r="16" spans="2:10" ht="18" thickBot="1" x14ac:dyDescent="0.35">
      <c r="B16" s="3" t="s">
        <v>74</v>
      </c>
      <c r="C16" s="4" t="s">
        <v>10</v>
      </c>
      <c r="D16" s="4" t="s">
        <v>95</v>
      </c>
      <c r="E16" s="4" t="s">
        <v>53</v>
      </c>
      <c r="F16" s="4" t="s">
        <v>90</v>
      </c>
      <c r="G16" s="4" t="s">
        <v>49</v>
      </c>
    </row>
    <row r="17" spans="2:7" ht="18.600000000000001" thickTop="1" thickBot="1" x14ac:dyDescent="0.35">
      <c r="B17" s="5" t="s">
        <v>211</v>
      </c>
      <c r="C17" s="117" t="s">
        <v>160</v>
      </c>
      <c r="D17" s="118"/>
      <c r="E17" s="118"/>
      <c r="F17" s="118"/>
      <c r="G17" s="119"/>
    </row>
    <row r="18" spans="2:7" ht="18" customHeight="1" thickTop="1" x14ac:dyDescent="0.3">
      <c r="B18" s="11" t="s">
        <v>5</v>
      </c>
      <c r="C18" s="163" t="s">
        <v>257</v>
      </c>
      <c r="D18" s="156" t="s">
        <v>152</v>
      </c>
      <c r="E18" s="159" t="s">
        <v>223</v>
      </c>
      <c r="F18" s="167" t="s">
        <v>224</v>
      </c>
      <c r="G18" s="157" t="s">
        <v>225</v>
      </c>
    </row>
    <row r="19" spans="2:7" ht="18" thickBot="1" x14ac:dyDescent="0.35">
      <c r="B19" s="3" t="s">
        <v>146</v>
      </c>
      <c r="C19" s="164"/>
      <c r="D19" s="149"/>
      <c r="E19" s="160"/>
      <c r="F19" s="168"/>
      <c r="G19" s="158"/>
    </row>
    <row r="20" spans="2:7" ht="18" thickTop="1" x14ac:dyDescent="0.3">
      <c r="B20" s="11" t="s">
        <v>12</v>
      </c>
      <c r="C20" s="164"/>
      <c r="D20" s="149"/>
      <c r="E20" s="161" t="s">
        <v>67</v>
      </c>
      <c r="F20" s="168"/>
      <c r="G20" s="154" t="s">
        <v>90</v>
      </c>
    </row>
    <row r="21" spans="2:7" ht="18" thickBot="1" x14ac:dyDescent="0.35">
      <c r="B21" s="3" t="s">
        <v>147</v>
      </c>
      <c r="C21" s="164"/>
      <c r="D21" s="150"/>
      <c r="E21" s="162"/>
      <c r="F21" s="166" t="s">
        <v>53</v>
      </c>
      <c r="G21" s="155"/>
    </row>
    <row r="22" spans="2:7" ht="18.600000000000001" thickTop="1" thickBot="1" x14ac:dyDescent="0.35">
      <c r="B22" s="5" t="s">
        <v>148</v>
      </c>
      <c r="C22" s="165"/>
      <c r="D22" s="127" t="s">
        <v>23</v>
      </c>
      <c r="E22" s="129"/>
      <c r="F22" s="166"/>
      <c r="G22" s="97" t="s">
        <v>23</v>
      </c>
    </row>
    <row r="23" spans="2:7" ht="18" customHeight="1" thickTop="1" x14ac:dyDescent="0.3">
      <c r="B23" s="11" t="s">
        <v>18</v>
      </c>
      <c r="C23" s="156" t="s">
        <v>152</v>
      </c>
      <c r="D23" s="157" t="s">
        <v>61</v>
      </c>
      <c r="E23" s="156" t="s">
        <v>152</v>
      </c>
      <c r="F23" s="156" t="s">
        <v>152</v>
      </c>
      <c r="G23" s="156" t="s">
        <v>152</v>
      </c>
    </row>
    <row r="24" spans="2:7" ht="18" thickBot="1" x14ac:dyDescent="0.35">
      <c r="B24" s="3" t="s">
        <v>149</v>
      </c>
      <c r="C24" s="149"/>
      <c r="D24" s="158"/>
      <c r="E24" s="149"/>
      <c r="F24" s="149"/>
      <c r="G24" s="149"/>
    </row>
    <row r="25" spans="2:7" ht="18" thickTop="1" x14ac:dyDescent="0.3">
      <c r="B25" s="11" t="s">
        <v>24</v>
      </c>
      <c r="C25" s="149"/>
      <c r="D25" s="154" t="s">
        <v>79</v>
      </c>
      <c r="E25" s="149"/>
      <c r="F25" s="149"/>
      <c r="G25" s="149"/>
    </row>
    <row r="26" spans="2:7" ht="18" thickBot="1" x14ac:dyDescent="0.35">
      <c r="B26" s="3" t="s">
        <v>150</v>
      </c>
      <c r="C26" s="150"/>
      <c r="D26" s="155"/>
      <c r="E26" s="150"/>
      <c r="F26" s="150"/>
      <c r="G26" s="150"/>
    </row>
    <row r="27" spans="2:7" ht="15" thickTop="1" x14ac:dyDescent="0.3"/>
  </sheetData>
  <mergeCells count="18">
    <mergeCell ref="B2:G2"/>
    <mergeCell ref="C10:G10"/>
    <mergeCell ref="C17:G17"/>
    <mergeCell ref="E18:E19"/>
    <mergeCell ref="E20:E21"/>
    <mergeCell ref="C18:C22"/>
    <mergeCell ref="D22:E22"/>
    <mergeCell ref="G18:G19"/>
    <mergeCell ref="G20:G21"/>
    <mergeCell ref="F21:F22"/>
    <mergeCell ref="F18:F20"/>
    <mergeCell ref="D18:D21"/>
    <mergeCell ref="D25:D26"/>
    <mergeCell ref="C23:C26"/>
    <mergeCell ref="E23:E26"/>
    <mergeCell ref="F23:F26"/>
    <mergeCell ref="G23:G26"/>
    <mergeCell ref="D23:D24"/>
  </mergeCells>
  <pageMargins left="0.51181102362204722" right="0.51181102362204722" top="0.78740157480314965" bottom="0.78740157480314965" header="0.31496062992125984" footer="0.31496062992125984"/>
  <pageSetup paperSize="9" scale="70" fitToHeight="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884826-2C2C-451F-8441-373BF9AF5424}">
  <sheetPr codeName="Planilha13">
    <pageSetUpPr fitToPage="1"/>
  </sheetPr>
  <dimension ref="B1:J29"/>
  <sheetViews>
    <sheetView zoomScale="86" zoomScaleNormal="86" workbookViewId="0">
      <selection activeCell="B2" sqref="B2:G28"/>
    </sheetView>
  </sheetViews>
  <sheetFormatPr defaultRowHeight="14.4" x14ac:dyDescent="0.3"/>
  <cols>
    <col min="2" max="2" width="16.33203125" customWidth="1"/>
    <col min="3" max="7" width="30.6640625" customWidth="1"/>
    <col min="8" max="8" width="14.33203125" customWidth="1"/>
    <col min="9" max="9" width="14.6640625" customWidth="1"/>
    <col min="10" max="10" width="20.33203125" bestFit="1" customWidth="1"/>
  </cols>
  <sheetData>
    <row r="1" spans="2:10" ht="15" thickBot="1" x14ac:dyDescent="0.35"/>
    <row r="2" spans="2:10" ht="22.2" thickTop="1" thickBot="1" x14ac:dyDescent="0.35">
      <c r="B2" s="114" t="s">
        <v>187</v>
      </c>
      <c r="C2" s="115"/>
      <c r="D2" s="115"/>
      <c r="E2" s="115"/>
      <c r="F2" s="115"/>
      <c r="G2" s="116"/>
      <c r="H2" s="33"/>
      <c r="I2" s="33"/>
      <c r="J2" s="33"/>
    </row>
    <row r="3" spans="2:10" ht="18.600000000000001" thickTop="1" thickBot="1" x14ac:dyDescent="0.35">
      <c r="B3" s="1"/>
      <c r="C3" s="2" t="s">
        <v>0</v>
      </c>
      <c r="D3" s="2" t="s">
        <v>1</v>
      </c>
      <c r="E3" s="2" t="s">
        <v>2</v>
      </c>
      <c r="F3" s="2" t="s">
        <v>3</v>
      </c>
      <c r="G3" s="2" t="s">
        <v>4</v>
      </c>
    </row>
    <row r="4" spans="2:10" ht="18" customHeight="1" thickTop="1" x14ac:dyDescent="0.3">
      <c r="B4" s="11" t="s">
        <v>5</v>
      </c>
      <c r="C4" s="6"/>
      <c r="D4" s="6"/>
      <c r="E4" s="6"/>
      <c r="F4" s="6"/>
      <c r="G4" s="89"/>
    </row>
    <row r="5" spans="2:10" ht="18" thickBot="1" x14ac:dyDescent="0.35">
      <c r="B5" s="3" t="s">
        <v>138</v>
      </c>
      <c r="C5" s="4"/>
      <c r="D5" s="4"/>
      <c r="E5" s="4"/>
      <c r="F5" s="4"/>
      <c r="G5" s="90"/>
    </row>
    <row r="6" spans="2:10" ht="18" customHeight="1" thickTop="1" x14ac:dyDescent="0.3">
      <c r="B6" s="11" t="s">
        <v>12</v>
      </c>
      <c r="C6" s="6"/>
      <c r="D6" s="6"/>
      <c r="E6" s="6"/>
      <c r="F6" s="6"/>
      <c r="G6" s="89"/>
    </row>
    <row r="7" spans="2:10" ht="18" thickBot="1" x14ac:dyDescent="0.35">
      <c r="B7" s="3" t="s">
        <v>139</v>
      </c>
      <c r="C7" s="4"/>
      <c r="D7" s="4"/>
      <c r="E7" s="4"/>
      <c r="F7" s="4"/>
      <c r="G7" s="90"/>
    </row>
    <row r="8" spans="2:10" ht="18" customHeight="1" thickTop="1" x14ac:dyDescent="0.3">
      <c r="B8" s="11" t="s">
        <v>18</v>
      </c>
      <c r="C8" s="124"/>
      <c r="D8" s="6"/>
      <c r="E8" s="124"/>
      <c r="F8" s="124"/>
      <c r="G8" s="89"/>
    </row>
    <row r="9" spans="2:10" ht="18" thickBot="1" x14ac:dyDescent="0.35">
      <c r="B9" s="3" t="s">
        <v>140</v>
      </c>
      <c r="C9" s="125"/>
      <c r="D9" s="4"/>
      <c r="E9" s="125"/>
      <c r="F9" s="125"/>
      <c r="G9" s="90"/>
    </row>
    <row r="10" spans="2:10" ht="18.600000000000001" thickTop="1" thickBot="1" x14ac:dyDescent="0.35">
      <c r="B10" s="5" t="s">
        <v>141</v>
      </c>
      <c r="C10" s="117"/>
      <c r="D10" s="118"/>
      <c r="E10" s="118"/>
      <c r="F10" s="118"/>
      <c r="G10" s="119"/>
    </row>
    <row r="11" spans="2:10" ht="18" customHeight="1" thickTop="1" x14ac:dyDescent="0.3">
      <c r="B11" s="11" t="s">
        <v>24</v>
      </c>
      <c r="C11" s="6"/>
      <c r="D11" s="6"/>
      <c r="E11" s="6"/>
      <c r="F11" s="6"/>
      <c r="G11" s="89"/>
    </row>
    <row r="12" spans="2:10" ht="18" thickBot="1" x14ac:dyDescent="0.35">
      <c r="B12" s="3" t="s">
        <v>142</v>
      </c>
      <c r="C12" s="4"/>
      <c r="D12" s="4"/>
      <c r="E12" s="4"/>
      <c r="F12" s="4"/>
      <c r="G12" s="90"/>
    </row>
    <row r="13" spans="2:10" ht="18" thickTop="1" x14ac:dyDescent="0.3">
      <c r="B13" s="11" t="s">
        <v>30</v>
      </c>
      <c r="C13" s="6"/>
      <c r="D13" s="6"/>
      <c r="E13" s="6"/>
      <c r="F13" s="6"/>
      <c r="G13" s="89"/>
    </row>
    <row r="14" spans="2:10" ht="18" thickBot="1" x14ac:dyDescent="0.35">
      <c r="B14" s="3" t="s">
        <v>143</v>
      </c>
      <c r="C14" s="4"/>
      <c r="D14" s="4"/>
      <c r="E14" s="4"/>
      <c r="F14" s="4"/>
      <c r="G14" s="90"/>
    </row>
    <row r="15" spans="2:10" ht="18" thickTop="1" x14ac:dyDescent="0.3">
      <c r="B15" s="11" t="s">
        <v>39</v>
      </c>
      <c r="C15" s="124"/>
      <c r="D15" s="124"/>
      <c r="E15" s="124"/>
      <c r="F15" s="124"/>
      <c r="G15" s="89"/>
    </row>
    <row r="16" spans="2:10" ht="18" thickBot="1" x14ac:dyDescent="0.35">
      <c r="B16" s="3" t="s">
        <v>144</v>
      </c>
      <c r="C16" s="125"/>
      <c r="D16" s="125"/>
      <c r="E16" s="125"/>
      <c r="F16" s="125"/>
      <c r="G16" s="90"/>
    </row>
    <row r="17" spans="2:7" ht="18.600000000000001" thickTop="1" thickBot="1" x14ac:dyDescent="0.35">
      <c r="B17" s="5" t="s">
        <v>145</v>
      </c>
      <c r="C17" s="117"/>
      <c r="D17" s="118"/>
      <c r="E17" s="118"/>
      <c r="F17" s="118"/>
      <c r="G17" s="119"/>
    </row>
    <row r="18" spans="2:7" ht="18" thickTop="1" x14ac:dyDescent="0.3">
      <c r="B18" s="11" t="s">
        <v>5</v>
      </c>
      <c r="C18" s="6"/>
      <c r="D18" s="6"/>
      <c r="E18" s="6"/>
      <c r="F18" s="6"/>
      <c r="G18" s="6"/>
    </row>
    <row r="19" spans="2:7" ht="18" thickBot="1" x14ac:dyDescent="0.35">
      <c r="B19" s="3" t="s">
        <v>146</v>
      </c>
      <c r="C19" s="4"/>
      <c r="D19" s="4"/>
      <c r="E19" s="4"/>
      <c r="F19" s="4"/>
      <c r="G19" s="4"/>
    </row>
    <row r="20" spans="2:7" ht="18" thickTop="1" x14ac:dyDescent="0.3">
      <c r="B20" s="11" t="s">
        <v>12</v>
      </c>
      <c r="C20" s="6"/>
      <c r="D20" s="6"/>
      <c r="E20" s="6"/>
      <c r="F20" s="6"/>
      <c r="G20" s="6"/>
    </row>
    <row r="21" spans="2:7" ht="18" thickBot="1" x14ac:dyDescent="0.35">
      <c r="B21" s="3" t="s">
        <v>147</v>
      </c>
      <c r="C21" s="4"/>
      <c r="D21" s="4"/>
      <c r="E21" s="4"/>
      <c r="F21" s="4"/>
      <c r="G21" s="4"/>
    </row>
    <row r="22" spans="2:7" ht="18.600000000000001" thickTop="1" thickBot="1" x14ac:dyDescent="0.35">
      <c r="B22" s="5" t="s">
        <v>148</v>
      </c>
      <c r="C22" s="117"/>
      <c r="D22" s="118"/>
      <c r="E22" s="118"/>
      <c r="F22" s="118"/>
      <c r="G22" s="119"/>
    </row>
    <row r="23" spans="2:7" ht="18" thickTop="1" x14ac:dyDescent="0.3">
      <c r="B23" s="11" t="s">
        <v>18</v>
      </c>
      <c r="C23" s="124"/>
      <c r="D23" s="6"/>
      <c r="E23" s="6"/>
      <c r="F23" s="6"/>
      <c r="G23" s="6"/>
    </row>
    <row r="24" spans="2:7" ht="18" thickBot="1" x14ac:dyDescent="0.35">
      <c r="B24" s="3" t="s">
        <v>149</v>
      </c>
      <c r="C24" s="125"/>
      <c r="D24" s="4"/>
      <c r="E24" s="4"/>
      <c r="F24" s="4"/>
      <c r="G24" s="4"/>
    </row>
    <row r="25" spans="2:7" ht="18" thickTop="1" x14ac:dyDescent="0.3">
      <c r="B25" s="11" t="s">
        <v>24</v>
      </c>
      <c r="C25" s="11"/>
      <c r="D25" s="6"/>
      <c r="E25" s="6"/>
      <c r="F25" s="6"/>
      <c r="G25" s="6"/>
    </row>
    <row r="26" spans="2:7" ht="18" thickBot="1" x14ac:dyDescent="0.35">
      <c r="B26" s="3" t="s">
        <v>150</v>
      </c>
      <c r="C26" s="4"/>
      <c r="D26" s="4"/>
      <c r="E26" s="4"/>
      <c r="F26" s="4"/>
      <c r="G26" s="4"/>
    </row>
    <row r="27" spans="2:7" ht="18" thickTop="1" x14ac:dyDescent="0.3">
      <c r="B27" s="11" t="s">
        <v>30</v>
      </c>
      <c r="C27" s="6"/>
      <c r="D27" s="6"/>
      <c r="E27" s="6"/>
      <c r="F27" s="6"/>
      <c r="G27" s="6"/>
    </row>
    <row r="28" spans="2:7" ht="18" thickBot="1" x14ac:dyDescent="0.35">
      <c r="B28" s="3" t="s">
        <v>151</v>
      </c>
      <c r="C28" s="4"/>
      <c r="D28" s="4"/>
      <c r="E28" s="4"/>
      <c r="F28" s="4"/>
      <c r="G28" s="4"/>
    </row>
    <row r="29" spans="2:7" ht="15" thickTop="1" x14ac:dyDescent="0.3"/>
  </sheetData>
  <mergeCells count="12">
    <mergeCell ref="C22:G22"/>
    <mergeCell ref="C23:C24"/>
    <mergeCell ref="C10:G10"/>
    <mergeCell ref="C15:C16"/>
    <mergeCell ref="D15:D16"/>
    <mergeCell ref="E15:E16"/>
    <mergeCell ref="F15:F16"/>
    <mergeCell ref="B2:G2"/>
    <mergeCell ref="C8:C9"/>
    <mergeCell ref="E8:E9"/>
    <mergeCell ref="F8:F9"/>
    <mergeCell ref="C17:G17"/>
  </mergeCells>
  <printOptions horizontalCentered="1"/>
  <pageMargins left="0.51181102362204722" right="0.51181102362204722" top="0.78740157480314965" bottom="0.78740157480314965" header="0.31496062992125984" footer="0.31496062992125984"/>
  <pageSetup paperSize="9" scale="59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0801D0-35F9-4A13-A67E-824C91A4D144}">
  <sheetPr codeName="Planilha8"/>
  <dimension ref="B1:L95"/>
  <sheetViews>
    <sheetView topLeftCell="A19" zoomScale="85" zoomScaleNormal="85" workbookViewId="0">
      <selection activeCell="B26" sqref="B26:G38"/>
    </sheetView>
  </sheetViews>
  <sheetFormatPr defaultRowHeight="14.4" x14ac:dyDescent="0.3"/>
  <cols>
    <col min="2" max="2" width="16.33203125" customWidth="1"/>
    <col min="3" max="3" width="27.44140625" customWidth="1"/>
    <col min="4" max="4" width="27.6640625" customWidth="1"/>
    <col min="5" max="5" width="29.5546875" customWidth="1"/>
    <col min="6" max="6" width="30.44140625" customWidth="1"/>
    <col min="7" max="7" width="30.6640625" customWidth="1"/>
  </cols>
  <sheetData>
    <row r="1" spans="2:10" ht="15" thickBot="1" x14ac:dyDescent="0.35"/>
    <row r="2" spans="2:10" ht="22.2" thickTop="1" thickBot="1" x14ac:dyDescent="0.35">
      <c r="B2" s="114" t="s">
        <v>58</v>
      </c>
      <c r="C2" s="115"/>
      <c r="D2" s="115"/>
      <c r="E2" s="115"/>
      <c r="F2" s="115"/>
      <c r="G2" s="116"/>
    </row>
    <row r="3" spans="2:10" ht="24" customHeight="1" thickTop="1" thickBot="1" x14ac:dyDescent="0.35">
      <c r="B3" s="1"/>
      <c r="C3" s="2" t="s">
        <v>0</v>
      </c>
      <c r="D3" s="2" t="s">
        <v>1</v>
      </c>
      <c r="E3" s="2" t="s">
        <v>2</v>
      </c>
      <c r="F3" s="2" t="s">
        <v>3</v>
      </c>
      <c r="G3" s="2" t="s">
        <v>4</v>
      </c>
    </row>
    <row r="4" spans="2:10" ht="19.5" customHeight="1" thickTop="1" thickBot="1" x14ac:dyDescent="0.35">
      <c r="B4" s="11" t="s">
        <v>5</v>
      </c>
      <c r="C4" s="6" t="s">
        <v>6</v>
      </c>
      <c r="D4" s="6" t="s">
        <v>7</v>
      </c>
      <c r="E4" s="6" t="s">
        <v>19</v>
      </c>
      <c r="F4" s="6" t="s">
        <v>6</v>
      </c>
      <c r="G4" s="6" t="s">
        <v>7</v>
      </c>
    </row>
    <row r="5" spans="2:10" ht="18" thickBot="1" x14ac:dyDescent="0.35">
      <c r="B5" s="3" t="s">
        <v>68</v>
      </c>
      <c r="C5" s="10" t="s">
        <v>8</v>
      </c>
      <c r="D5" s="4" t="s">
        <v>9</v>
      </c>
      <c r="E5" s="4" t="s">
        <v>10</v>
      </c>
      <c r="F5" s="10" t="s">
        <v>8</v>
      </c>
      <c r="G5" s="4" t="s">
        <v>9</v>
      </c>
    </row>
    <row r="6" spans="2:10" ht="18" thickTop="1" x14ac:dyDescent="0.3">
      <c r="B6" s="11" t="s">
        <v>12</v>
      </c>
      <c r="C6" s="6" t="s">
        <v>13</v>
      </c>
      <c r="D6" s="6" t="s">
        <v>78</v>
      </c>
      <c r="E6" s="6" t="s">
        <v>25</v>
      </c>
      <c r="F6" s="6" t="s">
        <v>33</v>
      </c>
      <c r="G6" s="13" t="s">
        <v>75</v>
      </c>
      <c r="J6" s="6" t="s">
        <v>14</v>
      </c>
    </row>
    <row r="7" spans="2:10" ht="18" thickBot="1" x14ac:dyDescent="0.35">
      <c r="B7" s="3" t="s">
        <v>69</v>
      </c>
      <c r="C7" s="4" t="s">
        <v>17</v>
      </c>
      <c r="D7" s="4" t="s">
        <v>27</v>
      </c>
      <c r="E7" s="4" t="s">
        <v>28</v>
      </c>
      <c r="F7" s="4" t="s">
        <v>37</v>
      </c>
      <c r="G7" s="4" t="s">
        <v>11</v>
      </c>
      <c r="J7" s="4" t="s">
        <v>52</v>
      </c>
    </row>
    <row r="8" spans="2:10" ht="18" thickTop="1" x14ac:dyDescent="0.3">
      <c r="B8" s="11" t="s">
        <v>18</v>
      </c>
      <c r="C8" s="6" t="s">
        <v>19</v>
      </c>
      <c r="D8" s="6" t="s">
        <v>54</v>
      </c>
      <c r="E8" s="6" t="s">
        <v>54</v>
      </c>
      <c r="F8" s="6" t="s">
        <v>54</v>
      </c>
      <c r="G8" s="6" t="s">
        <v>54</v>
      </c>
    </row>
    <row r="9" spans="2:10" ht="18" thickBot="1" x14ac:dyDescent="0.35">
      <c r="B9" s="3" t="s">
        <v>70</v>
      </c>
      <c r="C9" s="4" t="s">
        <v>10</v>
      </c>
      <c r="D9" s="4" t="s">
        <v>53</v>
      </c>
      <c r="E9" s="4" t="s">
        <v>53</v>
      </c>
      <c r="F9" s="4" t="s">
        <v>53</v>
      </c>
      <c r="G9" s="4" t="s">
        <v>53</v>
      </c>
      <c r="J9" s="6" t="s">
        <v>43</v>
      </c>
    </row>
    <row r="10" spans="2:10" ht="18.600000000000001" thickTop="1" thickBot="1" x14ac:dyDescent="0.35">
      <c r="B10" s="5" t="s">
        <v>71</v>
      </c>
      <c r="C10" s="117" t="s">
        <v>23</v>
      </c>
      <c r="D10" s="118"/>
      <c r="E10" s="118"/>
      <c r="F10" s="118"/>
      <c r="G10" s="119"/>
      <c r="J10" s="4" t="s">
        <v>48</v>
      </c>
    </row>
    <row r="11" spans="2:10" ht="18" thickTop="1" x14ac:dyDescent="0.3">
      <c r="B11" s="11" t="s">
        <v>24</v>
      </c>
      <c r="C11" s="6" t="s">
        <v>15</v>
      </c>
      <c r="D11" s="6" t="s">
        <v>14</v>
      </c>
      <c r="E11" s="6" t="s">
        <v>32</v>
      </c>
      <c r="F11" s="6" t="s">
        <v>43</v>
      </c>
      <c r="G11" s="6" t="s">
        <v>34</v>
      </c>
    </row>
    <row r="12" spans="2:10" ht="18" customHeight="1" thickBot="1" x14ac:dyDescent="0.35">
      <c r="B12" s="3" t="s">
        <v>72</v>
      </c>
      <c r="C12" s="4" t="s">
        <v>76</v>
      </c>
      <c r="D12" s="4" t="s">
        <v>77</v>
      </c>
      <c r="E12" s="4" t="s">
        <v>36</v>
      </c>
      <c r="F12" s="4" t="s">
        <v>48</v>
      </c>
      <c r="G12" s="4" t="s">
        <v>38</v>
      </c>
    </row>
    <row r="13" spans="2:10" ht="18.600000000000001" thickTop="1" thickBot="1" x14ac:dyDescent="0.35">
      <c r="B13" s="11" t="s">
        <v>30</v>
      </c>
      <c r="C13" s="6" t="s">
        <v>31</v>
      </c>
      <c r="D13" s="6" t="s">
        <v>57</v>
      </c>
      <c r="E13" s="6" t="s">
        <v>42</v>
      </c>
      <c r="F13" s="6" t="s">
        <v>20</v>
      </c>
      <c r="G13" s="6" t="s">
        <v>44</v>
      </c>
      <c r="J13" s="6" t="s">
        <v>34</v>
      </c>
    </row>
    <row r="14" spans="2:10" ht="18" thickBot="1" x14ac:dyDescent="0.35">
      <c r="B14" s="3" t="s">
        <v>73</v>
      </c>
      <c r="C14" s="4" t="s">
        <v>35</v>
      </c>
      <c r="D14" s="10" t="s">
        <v>35</v>
      </c>
      <c r="E14" s="4" t="s">
        <v>47</v>
      </c>
      <c r="F14" s="4" t="s">
        <v>22</v>
      </c>
      <c r="G14" s="10" t="s">
        <v>49</v>
      </c>
      <c r="J14" s="4" t="s">
        <v>38</v>
      </c>
    </row>
    <row r="15" spans="2:10" ht="18" thickTop="1" x14ac:dyDescent="0.3">
      <c r="B15" s="11" t="s">
        <v>39</v>
      </c>
      <c r="C15" s="6" t="s">
        <v>78</v>
      </c>
      <c r="D15" s="6" t="s">
        <v>41</v>
      </c>
      <c r="E15" s="6" t="s">
        <v>40</v>
      </c>
      <c r="F15" s="6" t="s">
        <v>26</v>
      </c>
      <c r="G15" s="6" t="s">
        <v>55</v>
      </c>
    </row>
    <row r="16" spans="2:10" ht="18" thickBot="1" x14ac:dyDescent="0.35">
      <c r="B16" s="3" t="s">
        <v>74</v>
      </c>
      <c r="C16" s="4" t="s">
        <v>27</v>
      </c>
      <c r="D16" s="4" t="s">
        <v>46</v>
      </c>
      <c r="E16" s="4" t="s">
        <v>45</v>
      </c>
      <c r="F16" s="4" t="s">
        <v>29</v>
      </c>
      <c r="G16" s="4" t="s">
        <v>79</v>
      </c>
    </row>
    <row r="17" spans="2:12" ht="18.600000000000001" thickTop="1" thickBot="1" x14ac:dyDescent="0.35">
      <c r="B17" s="117" t="s">
        <v>50</v>
      </c>
      <c r="C17" s="118"/>
      <c r="D17" s="118"/>
      <c r="E17" s="118"/>
      <c r="F17" s="118"/>
      <c r="G17" s="119"/>
    </row>
    <row r="18" spans="2:12" ht="18" thickTop="1" x14ac:dyDescent="0.35">
      <c r="B18" s="21"/>
      <c r="C18" s="7" t="s">
        <v>59</v>
      </c>
      <c r="D18" s="7" t="s">
        <v>59</v>
      </c>
      <c r="E18" s="7" t="s">
        <v>51</v>
      </c>
      <c r="F18" s="7" t="s">
        <v>83</v>
      </c>
      <c r="G18" s="18"/>
    </row>
    <row r="19" spans="2:12" ht="20.25" customHeight="1" thickBot="1" x14ac:dyDescent="0.4">
      <c r="B19" s="22"/>
      <c r="C19" s="8" t="s">
        <v>85</v>
      </c>
      <c r="D19" s="8" t="s">
        <v>82</v>
      </c>
      <c r="E19" s="8" t="s">
        <v>60</v>
      </c>
      <c r="F19" s="8" t="s">
        <v>84</v>
      </c>
      <c r="G19" s="20"/>
    </row>
    <row r="20" spans="2:12" ht="18.600000000000001" thickTop="1" thickBot="1" x14ac:dyDescent="0.4">
      <c r="B20" s="22"/>
      <c r="C20" s="9" t="s">
        <v>46</v>
      </c>
      <c r="D20" s="9" t="s">
        <v>77</v>
      </c>
      <c r="E20" s="4" t="s">
        <v>28</v>
      </c>
      <c r="F20" s="4" t="s">
        <v>79</v>
      </c>
      <c r="G20" s="19"/>
    </row>
    <row r="21" spans="2:12" ht="18" thickTop="1" x14ac:dyDescent="0.35">
      <c r="B21" s="22"/>
      <c r="C21" s="22"/>
      <c r="D21" s="17"/>
      <c r="E21" s="17"/>
      <c r="F21" s="17"/>
      <c r="G21" s="14"/>
    </row>
    <row r="22" spans="2:12" ht="17.399999999999999" x14ac:dyDescent="0.35">
      <c r="B22" s="22"/>
      <c r="C22" s="22"/>
      <c r="D22" s="15"/>
      <c r="E22" s="15"/>
      <c r="F22" s="15"/>
      <c r="G22" s="15"/>
    </row>
    <row r="23" spans="2:12" ht="17.399999999999999" x14ac:dyDescent="0.35">
      <c r="B23" s="22"/>
      <c r="C23" s="22" t="s">
        <v>100</v>
      </c>
      <c r="D23" s="16" t="s">
        <v>126</v>
      </c>
      <c r="E23" s="16"/>
      <c r="F23" s="16"/>
      <c r="G23" s="16"/>
    </row>
    <row r="25" spans="2:12" ht="15" thickBot="1" x14ac:dyDescent="0.35"/>
    <row r="26" spans="2:12" ht="22.2" thickTop="1" thickBot="1" x14ac:dyDescent="0.35">
      <c r="B26" s="114" t="s">
        <v>168</v>
      </c>
      <c r="C26" s="115"/>
      <c r="D26" s="115"/>
      <c r="E26" s="115"/>
      <c r="F26" s="115"/>
      <c r="G26" s="116"/>
      <c r="L26" s="6" t="s">
        <v>87</v>
      </c>
    </row>
    <row r="27" spans="2:12" ht="18.600000000000001" thickTop="1" thickBot="1" x14ac:dyDescent="0.35">
      <c r="B27" s="1"/>
      <c r="C27" s="2" t="s">
        <v>111</v>
      </c>
      <c r="D27" s="2" t="s">
        <v>102</v>
      </c>
      <c r="E27" s="2" t="s">
        <v>103</v>
      </c>
      <c r="F27" s="59" t="s">
        <v>104</v>
      </c>
      <c r="G27" s="2" t="s">
        <v>105</v>
      </c>
      <c r="L27" s="4" t="s">
        <v>88</v>
      </c>
    </row>
    <row r="28" spans="2:12" ht="18" thickTop="1" x14ac:dyDescent="0.3">
      <c r="B28" s="11" t="s">
        <v>5</v>
      </c>
      <c r="C28" s="6" t="s">
        <v>179</v>
      </c>
      <c r="D28" s="37" t="s">
        <v>40</v>
      </c>
      <c r="E28" s="44" t="s">
        <v>280</v>
      </c>
      <c r="F28" s="44" t="s">
        <v>282</v>
      </c>
      <c r="G28" s="6" t="s">
        <v>268</v>
      </c>
    </row>
    <row r="29" spans="2:12" ht="18" thickBot="1" x14ac:dyDescent="0.35">
      <c r="B29" s="3" t="s">
        <v>112</v>
      </c>
      <c r="C29" s="4" t="s">
        <v>110</v>
      </c>
      <c r="D29" s="55" t="s">
        <v>49</v>
      </c>
      <c r="E29" s="57" t="s">
        <v>38</v>
      </c>
      <c r="F29" s="58" t="s">
        <v>21</v>
      </c>
      <c r="G29" s="4" t="s">
        <v>9</v>
      </c>
    </row>
    <row r="30" spans="2:12" ht="18" thickTop="1" x14ac:dyDescent="0.3">
      <c r="B30" s="11" t="s">
        <v>12</v>
      </c>
      <c r="C30" s="6" t="s">
        <v>268</v>
      </c>
      <c r="D30" s="6" t="s">
        <v>179</v>
      </c>
      <c r="E30" s="37" t="s">
        <v>40</v>
      </c>
      <c r="F30" s="44" t="s">
        <v>280</v>
      </c>
      <c r="G30" s="44" t="s">
        <v>282</v>
      </c>
      <c r="L30" s="37" t="s">
        <v>44</v>
      </c>
    </row>
    <row r="31" spans="2:12" ht="18" thickBot="1" x14ac:dyDescent="0.35">
      <c r="B31" s="3" t="s">
        <v>113</v>
      </c>
      <c r="C31" s="4" t="s">
        <v>9</v>
      </c>
      <c r="D31" s="4" t="s">
        <v>110</v>
      </c>
      <c r="E31" s="55" t="s">
        <v>49</v>
      </c>
      <c r="F31" s="57" t="s">
        <v>38</v>
      </c>
      <c r="G31" s="58" t="s">
        <v>21</v>
      </c>
      <c r="L31" s="4" t="s">
        <v>67</v>
      </c>
    </row>
    <row r="32" spans="2:12" ht="18" thickTop="1" x14ac:dyDescent="0.3">
      <c r="B32" s="11" t="s">
        <v>18</v>
      </c>
      <c r="C32" s="44" t="s">
        <v>282</v>
      </c>
      <c r="D32" s="6" t="s">
        <v>268</v>
      </c>
      <c r="E32" s="6" t="s">
        <v>179</v>
      </c>
      <c r="F32" s="37" t="s">
        <v>40</v>
      </c>
      <c r="G32" s="44" t="s">
        <v>280</v>
      </c>
    </row>
    <row r="33" spans="2:12" ht="18" thickBot="1" x14ac:dyDescent="0.35">
      <c r="B33" s="3" t="s">
        <v>114</v>
      </c>
      <c r="C33" s="58" t="s">
        <v>21</v>
      </c>
      <c r="D33" s="4" t="s">
        <v>9</v>
      </c>
      <c r="E33" s="4" t="s">
        <v>110</v>
      </c>
      <c r="F33" s="55" t="s">
        <v>49</v>
      </c>
      <c r="G33" s="57" t="s">
        <v>38</v>
      </c>
    </row>
    <row r="34" spans="2:12" ht="18.600000000000001" thickTop="1" thickBot="1" x14ac:dyDescent="0.35">
      <c r="B34" s="5" t="s">
        <v>172</v>
      </c>
      <c r="C34" s="169" t="s">
        <v>23</v>
      </c>
      <c r="D34" s="170"/>
      <c r="E34" s="170"/>
      <c r="F34" s="170"/>
      <c r="G34" s="171"/>
    </row>
    <row r="35" spans="2:12" ht="18" thickTop="1" x14ac:dyDescent="0.3">
      <c r="B35" s="11" t="s">
        <v>24</v>
      </c>
      <c r="C35" s="44" t="s">
        <v>280</v>
      </c>
      <c r="D35" s="44" t="s">
        <v>282</v>
      </c>
      <c r="E35" s="6" t="s">
        <v>268</v>
      </c>
      <c r="F35" s="6" t="s">
        <v>179</v>
      </c>
      <c r="G35" s="37" t="s">
        <v>40</v>
      </c>
      <c r="L35" s="6" t="s">
        <v>25</v>
      </c>
    </row>
    <row r="36" spans="2:12" ht="18" thickBot="1" x14ac:dyDescent="0.35">
      <c r="B36" s="51" t="s">
        <v>166</v>
      </c>
      <c r="C36" s="57" t="s">
        <v>38</v>
      </c>
      <c r="D36" s="58" t="s">
        <v>21</v>
      </c>
      <c r="E36" s="4" t="s">
        <v>9</v>
      </c>
      <c r="F36" s="4" t="s">
        <v>110</v>
      </c>
      <c r="G36" s="55" t="s">
        <v>49</v>
      </c>
      <c r="L36" s="4" t="s">
        <v>99</v>
      </c>
    </row>
    <row r="37" spans="2:12" ht="18" thickTop="1" x14ac:dyDescent="0.3">
      <c r="B37" s="13" t="s">
        <v>30</v>
      </c>
      <c r="C37" s="37" t="s">
        <v>40</v>
      </c>
      <c r="D37" s="44" t="s">
        <v>280</v>
      </c>
      <c r="E37" s="44" t="s">
        <v>282</v>
      </c>
      <c r="F37" s="6" t="s">
        <v>268</v>
      </c>
      <c r="G37" s="6" t="s">
        <v>179</v>
      </c>
    </row>
    <row r="38" spans="2:12" ht="18" thickBot="1" x14ac:dyDescent="0.35">
      <c r="B38" s="3" t="s">
        <v>167</v>
      </c>
      <c r="C38" s="55" t="s">
        <v>49</v>
      </c>
      <c r="D38" s="57" t="s">
        <v>38</v>
      </c>
      <c r="E38" s="58" t="s">
        <v>21</v>
      </c>
      <c r="F38" s="4" t="s">
        <v>9</v>
      </c>
      <c r="G38" s="4" t="s">
        <v>110</v>
      </c>
    </row>
    <row r="39" spans="2:12" ht="15.6" thickTop="1" thickBot="1" x14ac:dyDescent="0.35">
      <c r="F39" s="64"/>
    </row>
    <row r="40" spans="2:12" ht="22.2" thickTop="1" thickBot="1" x14ac:dyDescent="0.35">
      <c r="B40" s="114" t="str">
        <f>_xlfn.CONCAT("HORÁRIO TURMA ENEM ",dataSem," - TURMA 02")</f>
        <v>HORÁRIO TURMA ENEM 04/07 - 08/07 - TURMA 02</v>
      </c>
      <c r="C40" s="115"/>
      <c r="D40" s="115"/>
      <c r="E40" s="115"/>
      <c r="F40" s="115"/>
      <c r="G40" s="116"/>
    </row>
    <row r="41" spans="2:12" ht="18.600000000000001" thickTop="1" thickBot="1" x14ac:dyDescent="0.35">
      <c r="B41" s="1"/>
      <c r="C41" s="2" t="s">
        <v>0</v>
      </c>
      <c r="D41" s="2" t="s">
        <v>1</v>
      </c>
      <c r="E41" s="59" t="s">
        <v>2</v>
      </c>
      <c r="F41" s="2" t="s">
        <v>3</v>
      </c>
      <c r="G41" s="2" t="s">
        <v>4</v>
      </c>
    </row>
    <row r="42" spans="2:12" ht="18" thickTop="1" x14ac:dyDescent="0.3">
      <c r="B42" s="11" t="s">
        <v>5</v>
      </c>
      <c r="C42" s="6" t="s">
        <v>41</v>
      </c>
      <c r="D42" s="13" t="s">
        <v>96</v>
      </c>
      <c r="E42" s="13" t="s">
        <v>44</v>
      </c>
      <c r="F42" s="35" t="s">
        <v>15</v>
      </c>
      <c r="G42" s="49" t="s">
        <v>86</v>
      </c>
    </row>
    <row r="43" spans="2:12" ht="18" thickBot="1" x14ac:dyDescent="0.35">
      <c r="B43" s="3" t="s">
        <v>112</v>
      </c>
      <c r="C43" s="4" t="s">
        <v>46</v>
      </c>
      <c r="D43" s="4" t="s">
        <v>91</v>
      </c>
      <c r="E43" s="4" t="s">
        <v>67</v>
      </c>
      <c r="F43" s="16" t="s">
        <v>90</v>
      </c>
      <c r="G43" s="60" t="s">
        <v>21</v>
      </c>
    </row>
    <row r="44" spans="2:12" ht="18" thickTop="1" x14ac:dyDescent="0.3">
      <c r="B44" s="11" t="s">
        <v>12</v>
      </c>
      <c r="C44" s="6" t="s">
        <v>6</v>
      </c>
      <c r="D44" s="6" t="s">
        <v>55</v>
      </c>
      <c r="E44" s="37" t="s">
        <v>42</v>
      </c>
      <c r="F44" s="44" t="s">
        <v>32</v>
      </c>
      <c r="G44" s="46" t="s">
        <v>6</v>
      </c>
    </row>
    <row r="45" spans="2:12" ht="18" thickBot="1" x14ac:dyDescent="0.35">
      <c r="B45" s="3" t="s">
        <v>113</v>
      </c>
      <c r="C45" s="4" t="s">
        <v>8</v>
      </c>
      <c r="D45" s="51" t="s">
        <v>79</v>
      </c>
      <c r="E45" s="55" t="s">
        <v>47</v>
      </c>
      <c r="F45" s="57" t="s">
        <v>48</v>
      </c>
      <c r="G45" s="53" t="s">
        <v>8</v>
      </c>
      <c r="I45" s="6"/>
    </row>
    <row r="46" spans="2:12" ht="18.600000000000001" thickTop="1" thickBot="1" x14ac:dyDescent="0.35">
      <c r="B46" s="11" t="s">
        <v>18</v>
      </c>
      <c r="C46" s="6" t="s">
        <v>26</v>
      </c>
      <c r="D46" s="6" t="s">
        <v>26</v>
      </c>
      <c r="E46" s="50" t="s">
        <v>96</v>
      </c>
      <c r="F46" s="45" t="s">
        <v>40</v>
      </c>
      <c r="G46" s="54" t="s">
        <v>34</v>
      </c>
      <c r="I46" s="10"/>
    </row>
    <row r="47" spans="2:12" ht="18.600000000000001" thickTop="1" thickBot="1" x14ac:dyDescent="0.35">
      <c r="B47" s="3" t="s">
        <v>114</v>
      </c>
      <c r="C47" s="10" t="s">
        <v>97</v>
      </c>
      <c r="D47" s="10" t="s">
        <v>97</v>
      </c>
      <c r="E47" s="55" t="s">
        <v>91</v>
      </c>
      <c r="F47" s="57" t="s">
        <v>49</v>
      </c>
      <c r="G47" s="62" t="s">
        <v>38</v>
      </c>
    </row>
    <row r="48" spans="2:12" ht="18.600000000000001" thickTop="1" thickBot="1" x14ac:dyDescent="0.35">
      <c r="B48" s="5" t="s">
        <v>123</v>
      </c>
      <c r="C48" s="169" t="s">
        <v>23</v>
      </c>
      <c r="D48" s="170"/>
      <c r="E48" s="170"/>
      <c r="F48" s="170"/>
      <c r="G48" s="171"/>
      <c r="H48" s="39"/>
    </row>
    <row r="49" spans="2:8" ht="18" thickTop="1" x14ac:dyDescent="0.3">
      <c r="B49" s="11" t="s">
        <v>24</v>
      </c>
      <c r="C49" s="6" t="s">
        <v>16</v>
      </c>
      <c r="D49" s="6" t="s">
        <v>6</v>
      </c>
      <c r="E49" s="50" t="s">
        <v>43</v>
      </c>
      <c r="F49" s="45" t="s">
        <v>6</v>
      </c>
      <c r="G49" s="54" t="s">
        <v>40</v>
      </c>
    </row>
    <row r="50" spans="2:8" ht="18" thickBot="1" x14ac:dyDescent="0.35">
      <c r="B50" s="3" t="s">
        <v>124</v>
      </c>
      <c r="C50" s="51" t="s">
        <v>89</v>
      </c>
      <c r="D50" s="4" t="s">
        <v>8</v>
      </c>
      <c r="E50" s="56" t="s">
        <v>36</v>
      </c>
      <c r="F50" s="58" t="s">
        <v>8</v>
      </c>
      <c r="G50" s="36" t="s">
        <v>49</v>
      </c>
      <c r="H50" s="39"/>
    </row>
    <row r="51" spans="2:8" ht="18" thickTop="1" x14ac:dyDescent="0.3">
      <c r="B51" s="11" t="s">
        <v>30</v>
      </c>
      <c r="C51" s="13" t="s">
        <v>96</v>
      </c>
      <c r="D51" s="6" t="s">
        <v>41</v>
      </c>
      <c r="E51" s="6" t="s">
        <v>6</v>
      </c>
      <c r="F51" s="13" t="s">
        <v>44</v>
      </c>
      <c r="G51" s="43" t="s">
        <v>87</v>
      </c>
    </row>
    <row r="52" spans="2:8" ht="18" thickBot="1" x14ac:dyDescent="0.35">
      <c r="B52" s="3" t="s">
        <v>125</v>
      </c>
      <c r="C52" s="4" t="s">
        <v>91</v>
      </c>
      <c r="D52" s="4" t="s">
        <v>46</v>
      </c>
      <c r="E52" s="4" t="s">
        <v>8</v>
      </c>
      <c r="F52" s="4" t="s">
        <v>67</v>
      </c>
      <c r="G52" s="61" t="s">
        <v>88</v>
      </c>
    </row>
    <row r="53" spans="2:8" ht="15.6" thickTop="1" thickBot="1" x14ac:dyDescent="0.35">
      <c r="G53" s="52"/>
    </row>
    <row r="54" spans="2:8" ht="22.2" thickTop="1" thickBot="1" x14ac:dyDescent="0.35">
      <c r="B54" s="114" t="str">
        <f>_xlfn.CONCAT("HORÁRIO TURMA ENEM ",dataSem," - TURMA 03")</f>
        <v>HORÁRIO TURMA ENEM 04/07 - 08/07 - TURMA 03</v>
      </c>
      <c r="C54" s="115"/>
      <c r="D54" s="115"/>
      <c r="E54" s="115"/>
      <c r="F54" s="115"/>
      <c r="G54" s="116"/>
    </row>
    <row r="55" spans="2:8" ht="18.600000000000001" thickTop="1" thickBot="1" x14ac:dyDescent="0.35">
      <c r="B55" s="1"/>
      <c r="C55" s="2" t="s">
        <v>0</v>
      </c>
      <c r="D55" s="2" t="s">
        <v>1</v>
      </c>
      <c r="E55" s="59" t="s">
        <v>2</v>
      </c>
      <c r="F55" s="2" t="s">
        <v>3</v>
      </c>
      <c r="G55" s="2" t="s">
        <v>4</v>
      </c>
    </row>
    <row r="56" spans="2:8" ht="18" thickTop="1" x14ac:dyDescent="0.3">
      <c r="B56" s="11" t="s">
        <v>5</v>
      </c>
      <c r="C56" s="13" t="s">
        <v>96</v>
      </c>
      <c r="D56" s="6" t="s">
        <v>41</v>
      </c>
      <c r="E56" s="6" t="s">
        <v>6</v>
      </c>
      <c r="F56" s="13" t="s">
        <v>44</v>
      </c>
      <c r="G56" s="43" t="s">
        <v>87</v>
      </c>
    </row>
    <row r="57" spans="2:8" ht="18" thickBot="1" x14ac:dyDescent="0.35">
      <c r="B57" s="3" t="s">
        <v>112</v>
      </c>
      <c r="C57" s="4" t="s">
        <v>91</v>
      </c>
      <c r="D57" s="4" t="s">
        <v>46</v>
      </c>
      <c r="E57" s="4" t="s">
        <v>8</v>
      </c>
      <c r="F57" s="4" t="s">
        <v>67</v>
      </c>
      <c r="G57" s="61" t="s">
        <v>88</v>
      </c>
    </row>
    <row r="58" spans="2:8" ht="18" thickTop="1" x14ac:dyDescent="0.3">
      <c r="B58" s="11" t="s">
        <v>12</v>
      </c>
      <c r="C58" s="6" t="s">
        <v>41</v>
      </c>
      <c r="D58" s="13" t="s">
        <v>96</v>
      </c>
      <c r="E58" s="13" t="s">
        <v>44</v>
      </c>
      <c r="F58" s="35" t="s">
        <v>15</v>
      </c>
      <c r="G58" s="49" t="s">
        <v>86</v>
      </c>
    </row>
    <row r="59" spans="2:8" ht="18" thickBot="1" x14ac:dyDescent="0.35">
      <c r="B59" s="3" t="s">
        <v>113</v>
      </c>
      <c r="C59" s="4" t="s">
        <v>46</v>
      </c>
      <c r="D59" s="4" t="s">
        <v>91</v>
      </c>
      <c r="E59" s="4" t="s">
        <v>67</v>
      </c>
      <c r="F59" s="16" t="s">
        <v>90</v>
      </c>
      <c r="G59" s="60" t="s">
        <v>21</v>
      </c>
    </row>
    <row r="60" spans="2:8" ht="18" thickTop="1" x14ac:dyDescent="0.3">
      <c r="B60" s="11" t="s">
        <v>18</v>
      </c>
      <c r="C60" s="6" t="s">
        <v>6</v>
      </c>
      <c r="D60" s="6" t="s">
        <v>55</v>
      </c>
      <c r="E60" s="37" t="s">
        <v>42</v>
      </c>
      <c r="F60" s="44" t="s">
        <v>32</v>
      </c>
      <c r="G60" s="46" t="s">
        <v>6</v>
      </c>
    </row>
    <row r="61" spans="2:8" ht="18" thickBot="1" x14ac:dyDescent="0.35">
      <c r="B61" s="3" t="s">
        <v>114</v>
      </c>
      <c r="C61" s="4" t="s">
        <v>8</v>
      </c>
      <c r="D61" s="51" t="s">
        <v>79</v>
      </c>
      <c r="E61" s="55" t="s">
        <v>47</v>
      </c>
      <c r="F61" s="57" t="s">
        <v>48</v>
      </c>
      <c r="G61" s="53" t="s">
        <v>8</v>
      </c>
    </row>
    <row r="62" spans="2:8" ht="18.600000000000001" thickTop="1" thickBot="1" x14ac:dyDescent="0.35">
      <c r="B62" s="5" t="s">
        <v>123</v>
      </c>
      <c r="C62" s="169" t="s">
        <v>23</v>
      </c>
      <c r="D62" s="170"/>
      <c r="E62" s="170"/>
      <c r="F62" s="170"/>
      <c r="G62" s="171"/>
    </row>
    <row r="63" spans="2:8" ht="18.600000000000001" thickTop="1" thickBot="1" x14ac:dyDescent="0.35">
      <c r="B63" s="11" t="s">
        <v>24</v>
      </c>
      <c r="C63" s="6" t="s">
        <v>26</v>
      </c>
      <c r="D63" s="6" t="s">
        <v>26</v>
      </c>
      <c r="E63" s="50" t="s">
        <v>96</v>
      </c>
      <c r="F63" s="45" t="s">
        <v>40</v>
      </c>
      <c r="G63" s="54" t="s">
        <v>34</v>
      </c>
    </row>
    <row r="64" spans="2:8" ht="18" thickBot="1" x14ac:dyDescent="0.35">
      <c r="B64" s="3" t="s">
        <v>124</v>
      </c>
      <c r="C64" s="10" t="s">
        <v>97</v>
      </c>
      <c r="D64" s="10" t="s">
        <v>97</v>
      </c>
      <c r="E64" s="55" t="s">
        <v>91</v>
      </c>
      <c r="F64" s="57" t="s">
        <v>49</v>
      </c>
      <c r="G64" s="62" t="s">
        <v>38</v>
      </c>
    </row>
    <row r="65" spans="2:8" ht="18" thickTop="1" x14ac:dyDescent="0.3">
      <c r="B65" s="11" t="s">
        <v>30</v>
      </c>
      <c r="C65" s="6" t="s">
        <v>16</v>
      </c>
      <c r="D65" s="6" t="s">
        <v>6</v>
      </c>
      <c r="E65" s="50" t="s">
        <v>43</v>
      </c>
      <c r="F65" s="45" t="s">
        <v>6</v>
      </c>
      <c r="G65" s="54" t="s">
        <v>40</v>
      </c>
    </row>
    <row r="66" spans="2:8" ht="18" thickBot="1" x14ac:dyDescent="0.35">
      <c r="B66" s="3" t="s">
        <v>125</v>
      </c>
      <c r="C66" s="12" t="s">
        <v>89</v>
      </c>
      <c r="D66" s="4" t="s">
        <v>8</v>
      </c>
      <c r="E66" s="56" t="s">
        <v>36</v>
      </c>
      <c r="F66" s="58" t="s">
        <v>8</v>
      </c>
      <c r="G66" s="63" t="s">
        <v>49</v>
      </c>
    </row>
    <row r="67" spans="2:8" ht="15.6" thickTop="1" thickBot="1" x14ac:dyDescent="0.35">
      <c r="C67" s="52"/>
    </row>
    <row r="68" spans="2:8" ht="22.2" thickTop="1" thickBot="1" x14ac:dyDescent="0.35">
      <c r="B68" s="114" t="str">
        <f>_xlfn.CONCAT("HORÁRIO TURMA ENEM ",dataSem," - TURMA 05")</f>
        <v>HORÁRIO TURMA ENEM 04/07 - 08/07 - TURMA 05</v>
      </c>
      <c r="C68" s="115"/>
      <c r="D68" s="115"/>
      <c r="E68" s="115"/>
      <c r="F68" s="115"/>
      <c r="G68" s="116"/>
    </row>
    <row r="69" spans="2:8" ht="18.600000000000001" thickTop="1" thickBot="1" x14ac:dyDescent="0.35">
      <c r="B69" s="1"/>
      <c r="C69" s="2" t="s">
        <v>0</v>
      </c>
      <c r="D69" s="2" t="s">
        <v>1</v>
      </c>
      <c r="E69" s="59" t="s">
        <v>2</v>
      </c>
      <c r="F69" s="2" t="s">
        <v>3</v>
      </c>
      <c r="G69" s="2" t="s">
        <v>4</v>
      </c>
    </row>
    <row r="70" spans="2:8" ht="18" thickTop="1" x14ac:dyDescent="0.3">
      <c r="B70" s="11" t="s">
        <v>5</v>
      </c>
      <c r="C70" s="6" t="s">
        <v>16</v>
      </c>
      <c r="D70" s="6" t="s">
        <v>6</v>
      </c>
      <c r="E70" s="50" t="s">
        <v>43</v>
      </c>
      <c r="F70" s="45" t="s">
        <v>6</v>
      </c>
      <c r="G70" s="54" t="s">
        <v>40</v>
      </c>
    </row>
    <row r="71" spans="2:8" ht="18" thickBot="1" x14ac:dyDescent="0.35">
      <c r="B71" s="3" t="s">
        <v>112</v>
      </c>
      <c r="C71" s="12" t="s">
        <v>89</v>
      </c>
      <c r="D71" s="4" t="s">
        <v>8</v>
      </c>
      <c r="E71" s="56" t="s">
        <v>36</v>
      </c>
      <c r="F71" s="58" t="s">
        <v>8</v>
      </c>
      <c r="G71" s="36" t="s">
        <v>49</v>
      </c>
      <c r="H71" s="39"/>
    </row>
    <row r="72" spans="2:8" ht="18" thickTop="1" x14ac:dyDescent="0.3">
      <c r="B72" s="11" t="s">
        <v>12</v>
      </c>
      <c r="C72" s="47" t="s">
        <v>96</v>
      </c>
      <c r="D72" s="6" t="s">
        <v>41</v>
      </c>
      <c r="E72" s="6" t="s">
        <v>6</v>
      </c>
      <c r="F72" s="13" t="s">
        <v>44</v>
      </c>
      <c r="G72" s="43" t="s">
        <v>87</v>
      </c>
    </row>
    <row r="73" spans="2:8" ht="18" thickBot="1" x14ac:dyDescent="0.35">
      <c r="B73" s="3" t="s">
        <v>113</v>
      </c>
      <c r="C73" s="4" t="s">
        <v>91</v>
      </c>
      <c r="D73" s="4" t="s">
        <v>46</v>
      </c>
      <c r="E73" s="4" t="s">
        <v>8</v>
      </c>
      <c r="F73" s="4" t="s">
        <v>67</v>
      </c>
      <c r="G73" s="61" t="s">
        <v>88</v>
      </c>
    </row>
    <row r="74" spans="2:8" ht="18" thickTop="1" x14ac:dyDescent="0.3">
      <c r="B74" s="11" t="s">
        <v>18</v>
      </c>
      <c r="C74" s="6" t="s">
        <v>41</v>
      </c>
      <c r="D74" s="13" t="s">
        <v>96</v>
      </c>
      <c r="E74" s="13" t="s">
        <v>44</v>
      </c>
      <c r="F74" s="35" t="s">
        <v>15</v>
      </c>
      <c r="G74" s="49" t="s">
        <v>86</v>
      </c>
    </row>
    <row r="75" spans="2:8" ht="18" thickBot="1" x14ac:dyDescent="0.35">
      <c r="B75" s="3" t="s">
        <v>114</v>
      </c>
      <c r="C75" s="4" t="s">
        <v>46</v>
      </c>
      <c r="D75" s="4" t="s">
        <v>91</v>
      </c>
      <c r="E75" s="4" t="s">
        <v>67</v>
      </c>
      <c r="F75" s="16" t="s">
        <v>90</v>
      </c>
      <c r="G75" s="60" t="s">
        <v>21</v>
      </c>
    </row>
    <row r="76" spans="2:8" ht="18.600000000000001" thickTop="1" thickBot="1" x14ac:dyDescent="0.35">
      <c r="B76" s="5" t="s">
        <v>123</v>
      </c>
      <c r="C76" s="169" t="s">
        <v>23</v>
      </c>
      <c r="D76" s="170"/>
      <c r="E76" s="170"/>
      <c r="F76" s="170"/>
      <c r="G76" s="171"/>
      <c r="H76" s="39"/>
    </row>
    <row r="77" spans="2:8" ht="18" thickTop="1" x14ac:dyDescent="0.3">
      <c r="B77" s="11" t="s">
        <v>24</v>
      </c>
      <c r="C77" s="6" t="s">
        <v>6</v>
      </c>
      <c r="D77" s="6" t="s">
        <v>55</v>
      </c>
      <c r="E77" s="37" t="s">
        <v>42</v>
      </c>
      <c r="F77" s="44" t="s">
        <v>32</v>
      </c>
      <c r="G77" s="46" t="s">
        <v>6</v>
      </c>
    </row>
    <row r="78" spans="2:8" ht="18" thickBot="1" x14ac:dyDescent="0.35">
      <c r="B78" s="3" t="s">
        <v>124</v>
      </c>
      <c r="C78" s="4" t="s">
        <v>8</v>
      </c>
      <c r="D78" s="51" t="s">
        <v>79</v>
      </c>
      <c r="E78" s="55" t="s">
        <v>47</v>
      </c>
      <c r="F78" s="57" t="s">
        <v>48</v>
      </c>
      <c r="G78" s="53" t="s">
        <v>8</v>
      </c>
    </row>
    <row r="79" spans="2:8" ht="18.600000000000001" thickTop="1" thickBot="1" x14ac:dyDescent="0.35">
      <c r="B79" s="11" t="s">
        <v>30</v>
      </c>
      <c r="C79" s="6" t="s">
        <v>26</v>
      </c>
      <c r="D79" s="6" t="s">
        <v>26</v>
      </c>
      <c r="E79" s="50" t="s">
        <v>96</v>
      </c>
      <c r="F79" s="45" t="s">
        <v>40</v>
      </c>
      <c r="G79" s="54" t="s">
        <v>34</v>
      </c>
    </row>
    <row r="80" spans="2:8" ht="18" thickBot="1" x14ac:dyDescent="0.35">
      <c r="B80" s="3" t="s">
        <v>125</v>
      </c>
      <c r="C80" s="10" t="s">
        <v>97</v>
      </c>
      <c r="D80" s="10" t="s">
        <v>97</v>
      </c>
      <c r="E80" s="55" t="s">
        <v>91</v>
      </c>
      <c r="F80" s="57" t="s">
        <v>49</v>
      </c>
      <c r="G80" s="62" t="s">
        <v>38</v>
      </c>
    </row>
    <row r="81" spans="2:7" ht="15.6" thickTop="1" thickBot="1" x14ac:dyDescent="0.35">
      <c r="G81" s="52"/>
    </row>
    <row r="82" spans="2:7" ht="22.2" thickTop="1" thickBot="1" x14ac:dyDescent="0.35">
      <c r="B82" s="114" t="str">
        <f>_xlfn.CONCAT("HORÁRIO TURMA ENEM ",dataSem," - TURMA 06")</f>
        <v>HORÁRIO TURMA ENEM 04/07 - 08/07 - TURMA 06</v>
      </c>
      <c r="C82" s="115"/>
      <c r="D82" s="115"/>
      <c r="E82" s="115"/>
      <c r="F82" s="115"/>
      <c r="G82" s="116"/>
    </row>
    <row r="83" spans="2:7" ht="18.600000000000001" thickTop="1" thickBot="1" x14ac:dyDescent="0.35">
      <c r="B83" s="1"/>
      <c r="C83" s="2" t="s">
        <v>0</v>
      </c>
      <c r="D83" s="2" t="s">
        <v>1</v>
      </c>
      <c r="E83" s="59" t="s">
        <v>2</v>
      </c>
      <c r="F83" s="2" t="s">
        <v>3</v>
      </c>
      <c r="G83" s="2" t="s">
        <v>4</v>
      </c>
    </row>
    <row r="84" spans="2:7" ht="18.600000000000001" thickTop="1" thickBot="1" x14ac:dyDescent="0.35">
      <c r="B84" s="11" t="s">
        <v>5</v>
      </c>
      <c r="C84" s="6" t="s">
        <v>26</v>
      </c>
      <c r="D84" s="6" t="s">
        <v>26</v>
      </c>
      <c r="E84" s="50" t="s">
        <v>96</v>
      </c>
      <c r="F84" s="45" t="s">
        <v>40</v>
      </c>
      <c r="G84" s="54" t="s">
        <v>34</v>
      </c>
    </row>
    <row r="85" spans="2:7" ht="18" thickBot="1" x14ac:dyDescent="0.35">
      <c r="B85" s="3" t="s">
        <v>112</v>
      </c>
      <c r="C85" s="10" t="s">
        <v>97</v>
      </c>
      <c r="D85" s="10" t="s">
        <v>97</v>
      </c>
      <c r="E85" s="55" t="s">
        <v>91</v>
      </c>
      <c r="F85" s="57" t="s">
        <v>49</v>
      </c>
      <c r="G85" s="62" t="s">
        <v>38</v>
      </c>
    </row>
    <row r="86" spans="2:7" ht="18" thickTop="1" x14ac:dyDescent="0.3">
      <c r="B86" s="11" t="s">
        <v>12</v>
      </c>
      <c r="C86" s="6" t="s">
        <v>16</v>
      </c>
      <c r="D86" s="6" t="s">
        <v>6</v>
      </c>
      <c r="E86" s="50" t="s">
        <v>43</v>
      </c>
      <c r="F86" s="45" t="s">
        <v>6</v>
      </c>
      <c r="G86" s="54" t="s">
        <v>40</v>
      </c>
    </row>
    <row r="87" spans="2:7" ht="18" thickBot="1" x14ac:dyDescent="0.35">
      <c r="B87" s="3" t="s">
        <v>113</v>
      </c>
      <c r="C87" s="12" t="s">
        <v>89</v>
      </c>
      <c r="D87" s="4" t="s">
        <v>8</v>
      </c>
      <c r="E87" s="56" t="s">
        <v>36</v>
      </c>
      <c r="F87" s="58" t="s">
        <v>8</v>
      </c>
      <c r="G87" s="63" t="s">
        <v>49</v>
      </c>
    </row>
    <row r="88" spans="2:7" ht="18" thickTop="1" x14ac:dyDescent="0.3">
      <c r="B88" s="11" t="s">
        <v>18</v>
      </c>
      <c r="C88" s="47" t="s">
        <v>96</v>
      </c>
      <c r="D88" s="6" t="s">
        <v>41</v>
      </c>
      <c r="E88" s="6" t="s">
        <v>6</v>
      </c>
      <c r="F88" s="13" t="s">
        <v>44</v>
      </c>
      <c r="G88" s="43" t="s">
        <v>87</v>
      </c>
    </row>
    <row r="89" spans="2:7" ht="18" thickBot="1" x14ac:dyDescent="0.35">
      <c r="B89" s="3" t="s">
        <v>114</v>
      </c>
      <c r="C89" s="4" t="s">
        <v>91</v>
      </c>
      <c r="D89" s="4" t="s">
        <v>46</v>
      </c>
      <c r="E89" s="4" t="s">
        <v>8</v>
      </c>
      <c r="F89" s="4" t="s">
        <v>67</v>
      </c>
      <c r="G89" s="61" t="s">
        <v>88</v>
      </c>
    </row>
    <row r="90" spans="2:7" ht="18.600000000000001" thickTop="1" thickBot="1" x14ac:dyDescent="0.35">
      <c r="B90" s="5" t="s">
        <v>123</v>
      </c>
      <c r="C90" s="169" t="s">
        <v>23</v>
      </c>
      <c r="D90" s="170"/>
      <c r="E90" s="170"/>
      <c r="F90" s="170"/>
      <c r="G90" s="171"/>
    </row>
    <row r="91" spans="2:7" ht="18" thickTop="1" x14ac:dyDescent="0.3">
      <c r="B91" s="11" t="s">
        <v>24</v>
      </c>
      <c r="C91" s="6" t="s">
        <v>41</v>
      </c>
      <c r="D91" s="13" t="s">
        <v>96</v>
      </c>
      <c r="E91" s="13" t="s">
        <v>44</v>
      </c>
      <c r="F91" s="35" t="s">
        <v>15</v>
      </c>
      <c r="G91" s="49" t="s">
        <v>86</v>
      </c>
    </row>
    <row r="92" spans="2:7" ht="18" thickBot="1" x14ac:dyDescent="0.35">
      <c r="B92" s="3" t="s">
        <v>124</v>
      </c>
      <c r="C92" s="4" t="s">
        <v>46</v>
      </c>
      <c r="D92" s="4" t="s">
        <v>91</v>
      </c>
      <c r="E92" s="4" t="s">
        <v>67</v>
      </c>
      <c r="F92" s="16" t="s">
        <v>90</v>
      </c>
      <c r="G92" s="60" t="s">
        <v>21</v>
      </c>
    </row>
    <row r="93" spans="2:7" ht="18" thickTop="1" x14ac:dyDescent="0.3">
      <c r="B93" s="11" t="s">
        <v>30</v>
      </c>
      <c r="C93" s="6" t="s">
        <v>6</v>
      </c>
      <c r="D93" s="6" t="s">
        <v>55</v>
      </c>
      <c r="E93" s="37" t="s">
        <v>42</v>
      </c>
      <c r="F93" s="44" t="s">
        <v>32</v>
      </c>
      <c r="G93" s="46" t="s">
        <v>6</v>
      </c>
    </row>
    <row r="94" spans="2:7" ht="18" thickBot="1" x14ac:dyDescent="0.35">
      <c r="B94" s="3" t="s">
        <v>125</v>
      </c>
      <c r="C94" s="4" t="s">
        <v>8</v>
      </c>
      <c r="D94" s="51" t="s">
        <v>79</v>
      </c>
      <c r="E94" s="55" t="s">
        <v>47</v>
      </c>
      <c r="F94" s="57" t="s">
        <v>48</v>
      </c>
      <c r="G94" s="53" t="s">
        <v>8</v>
      </c>
    </row>
    <row r="95" spans="2:7" ht="15" thickTop="1" x14ac:dyDescent="0.3"/>
  </sheetData>
  <mergeCells count="13">
    <mergeCell ref="C90:G90"/>
    <mergeCell ref="B54:G54"/>
    <mergeCell ref="B68:G68"/>
    <mergeCell ref="B82:G82"/>
    <mergeCell ref="C48:G48"/>
    <mergeCell ref="C62:G62"/>
    <mergeCell ref="C76:G76"/>
    <mergeCell ref="B2:G2"/>
    <mergeCell ref="C10:G10"/>
    <mergeCell ref="B17:G17"/>
    <mergeCell ref="B26:G26"/>
    <mergeCell ref="B40:G40"/>
    <mergeCell ref="C34:G34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6CAFA-27CB-4D40-854B-16201B8CFD2E}">
  <sheetPr codeName="Planilha10"/>
  <dimension ref="B1:M118"/>
  <sheetViews>
    <sheetView topLeftCell="A23" zoomScale="85" zoomScaleNormal="85" workbookViewId="0">
      <selection activeCell="E49" sqref="E49"/>
    </sheetView>
  </sheetViews>
  <sheetFormatPr defaultRowHeight="14.4" x14ac:dyDescent="0.3"/>
  <cols>
    <col min="2" max="2" width="16.33203125" customWidth="1"/>
    <col min="3" max="4" width="27.44140625" customWidth="1"/>
    <col min="5" max="5" width="27.6640625" customWidth="1"/>
    <col min="6" max="7" width="29.5546875" customWidth="1"/>
    <col min="8" max="8" width="30.6640625" customWidth="1"/>
  </cols>
  <sheetData>
    <row r="1" spans="2:11" ht="15" thickBot="1" x14ac:dyDescent="0.35"/>
    <row r="2" spans="2:11" ht="22.2" thickTop="1" thickBot="1" x14ac:dyDescent="0.35">
      <c r="B2" s="114" t="s">
        <v>58</v>
      </c>
      <c r="C2" s="115"/>
      <c r="D2" s="115"/>
      <c r="E2" s="115"/>
      <c r="F2" s="115"/>
      <c r="G2" s="115"/>
      <c r="H2" s="116"/>
    </row>
    <row r="3" spans="2:11" ht="24" customHeight="1" thickTop="1" thickBot="1" x14ac:dyDescent="0.35">
      <c r="B3" s="1"/>
      <c r="C3" s="2" t="s">
        <v>0</v>
      </c>
      <c r="D3" s="2"/>
      <c r="E3" s="2" t="s">
        <v>1</v>
      </c>
      <c r="F3" s="2" t="s">
        <v>2</v>
      </c>
      <c r="G3" s="2"/>
      <c r="H3" s="2" t="s">
        <v>4</v>
      </c>
    </row>
    <row r="4" spans="2:11" ht="19.5" customHeight="1" thickTop="1" thickBot="1" x14ac:dyDescent="0.35">
      <c r="B4" s="11" t="s">
        <v>5</v>
      </c>
      <c r="C4" s="6" t="s">
        <v>6</v>
      </c>
      <c r="D4" s="6"/>
      <c r="E4" s="6" t="s">
        <v>7</v>
      </c>
      <c r="F4" s="6" t="s">
        <v>19</v>
      </c>
      <c r="G4" s="6"/>
      <c r="H4" s="6" t="s">
        <v>7</v>
      </c>
    </row>
    <row r="5" spans="2:11" ht="18" thickBot="1" x14ac:dyDescent="0.35">
      <c r="B5" s="3" t="s">
        <v>68</v>
      </c>
      <c r="C5" s="10" t="s">
        <v>8</v>
      </c>
      <c r="D5" s="4"/>
      <c r="E5" s="4" t="s">
        <v>9</v>
      </c>
      <c r="F5" s="4" t="s">
        <v>10</v>
      </c>
      <c r="G5" s="4"/>
      <c r="H5" s="4" t="s">
        <v>9</v>
      </c>
    </row>
    <row r="6" spans="2:11" ht="18" thickTop="1" x14ac:dyDescent="0.3">
      <c r="B6" s="11" t="s">
        <v>12</v>
      </c>
      <c r="C6" s="6" t="s">
        <v>13</v>
      </c>
      <c r="D6" s="6"/>
      <c r="E6" s="6" t="s">
        <v>78</v>
      </c>
      <c r="F6" s="6" t="s">
        <v>25</v>
      </c>
      <c r="G6" s="6"/>
      <c r="H6" s="13" t="s">
        <v>75</v>
      </c>
      <c r="K6" s="6" t="s">
        <v>14</v>
      </c>
    </row>
    <row r="7" spans="2:11" ht="18" thickBot="1" x14ac:dyDescent="0.35">
      <c r="B7" s="3" t="s">
        <v>69</v>
      </c>
      <c r="C7" s="4" t="s">
        <v>17</v>
      </c>
      <c r="D7" s="4"/>
      <c r="E7" s="4" t="s">
        <v>27</v>
      </c>
      <c r="F7" s="4" t="s">
        <v>28</v>
      </c>
      <c r="G7" s="4"/>
      <c r="H7" s="4" t="s">
        <v>11</v>
      </c>
      <c r="K7" s="4" t="s">
        <v>52</v>
      </c>
    </row>
    <row r="8" spans="2:11" ht="18" thickTop="1" x14ac:dyDescent="0.3">
      <c r="B8" s="11" t="s">
        <v>18</v>
      </c>
      <c r="C8" s="6" t="s">
        <v>19</v>
      </c>
      <c r="D8" s="6"/>
      <c r="E8" s="6" t="s">
        <v>54</v>
      </c>
      <c r="F8" s="6" t="s">
        <v>54</v>
      </c>
      <c r="G8" s="6"/>
      <c r="H8" s="6" t="s">
        <v>54</v>
      </c>
    </row>
    <row r="9" spans="2:11" ht="18" thickBot="1" x14ac:dyDescent="0.35">
      <c r="B9" s="3" t="s">
        <v>70</v>
      </c>
      <c r="C9" s="4" t="s">
        <v>10</v>
      </c>
      <c r="D9" s="4"/>
      <c r="E9" s="4" t="s">
        <v>53</v>
      </c>
      <c r="F9" s="4" t="s">
        <v>53</v>
      </c>
      <c r="G9" s="4"/>
      <c r="H9" s="4" t="s">
        <v>53</v>
      </c>
      <c r="K9" s="6" t="s">
        <v>43</v>
      </c>
    </row>
    <row r="10" spans="2:11" ht="18.600000000000001" thickTop="1" thickBot="1" x14ac:dyDescent="0.35">
      <c r="B10" s="5" t="s">
        <v>71</v>
      </c>
      <c r="C10" s="117" t="s">
        <v>23</v>
      </c>
      <c r="D10" s="118"/>
      <c r="E10" s="118"/>
      <c r="F10" s="118"/>
      <c r="G10" s="118"/>
      <c r="H10" s="119"/>
      <c r="K10" s="4" t="s">
        <v>48</v>
      </c>
    </row>
    <row r="11" spans="2:11" ht="18" thickTop="1" x14ac:dyDescent="0.3">
      <c r="B11" s="11" t="s">
        <v>24</v>
      </c>
      <c r="C11" s="6" t="s">
        <v>15</v>
      </c>
      <c r="D11" s="6"/>
      <c r="E11" s="6" t="s">
        <v>14</v>
      </c>
      <c r="F11" s="6" t="s">
        <v>32</v>
      </c>
      <c r="G11" s="6"/>
      <c r="H11" s="6" t="s">
        <v>34</v>
      </c>
    </row>
    <row r="12" spans="2:11" ht="18" customHeight="1" thickBot="1" x14ac:dyDescent="0.35">
      <c r="B12" s="3" t="s">
        <v>72</v>
      </c>
      <c r="C12" s="4" t="s">
        <v>76</v>
      </c>
      <c r="D12" s="4"/>
      <c r="E12" s="4" t="s">
        <v>77</v>
      </c>
      <c r="F12" s="4" t="s">
        <v>36</v>
      </c>
      <c r="G12" s="4"/>
      <c r="H12" s="4" t="s">
        <v>38</v>
      </c>
    </row>
    <row r="13" spans="2:11" ht="18.600000000000001" thickTop="1" thickBot="1" x14ac:dyDescent="0.35">
      <c r="B13" s="11" t="s">
        <v>30</v>
      </c>
      <c r="C13" s="6" t="s">
        <v>31</v>
      </c>
      <c r="D13" s="6"/>
      <c r="E13" s="6" t="s">
        <v>57</v>
      </c>
      <c r="F13" s="6" t="s">
        <v>42</v>
      </c>
      <c r="G13" s="6"/>
      <c r="H13" s="6" t="s">
        <v>44</v>
      </c>
      <c r="K13" s="6" t="s">
        <v>34</v>
      </c>
    </row>
    <row r="14" spans="2:11" ht="18" thickBot="1" x14ac:dyDescent="0.35">
      <c r="B14" s="3" t="s">
        <v>73</v>
      </c>
      <c r="C14" s="4" t="s">
        <v>35</v>
      </c>
      <c r="D14" s="4"/>
      <c r="E14" s="10" t="s">
        <v>35</v>
      </c>
      <c r="F14" s="4" t="s">
        <v>47</v>
      </c>
      <c r="G14" s="4"/>
      <c r="H14" s="10" t="s">
        <v>49</v>
      </c>
      <c r="K14" s="4" t="s">
        <v>38</v>
      </c>
    </row>
    <row r="15" spans="2:11" ht="18" thickTop="1" x14ac:dyDescent="0.3">
      <c r="B15" s="11" t="s">
        <v>39</v>
      </c>
      <c r="C15" s="6" t="s">
        <v>78</v>
      </c>
      <c r="D15" s="6"/>
      <c r="E15" s="6" t="s">
        <v>41</v>
      </c>
      <c r="F15" s="6" t="s">
        <v>40</v>
      </c>
      <c r="G15" s="6"/>
      <c r="H15" s="6" t="s">
        <v>55</v>
      </c>
    </row>
    <row r="16" spans="2:11" ht="18" thickBot="1" x14ac:dyDescent="0.35">
      <c r="B16" s="3" t="s">
        <v>74</v>
      </c>
      <c r="C16" s="4" t="s">
        <v>27</v>
      </c>
      <c r="D16" s="4"/>
      <c r="E16" s="4" t="s">
        <v>46</v>
      </c>
      <c r="F16" s="4" t="s">
        <v>45</v>
      </c>
      <c r="G16" s="4"/>
      <c r="H16" s="4" t="s">
        <v>79</v>
      </c>
    </row>
    <row r="17" spans="2:13" ht="18.600000000000001" thickTop="1" thickBot="1" x14ac:dyDescent="0.35">
      <c r="B17" s="117" t="s">
        <v>50</v>
      </c>
      <c r="C17" s="118"/>
      <c r="D17" s="118"/>
      <c r="E17" s="118"/>
      <c r="F17" s="118"/>
      <c r="G17" s="118"/>
      <c r="H17" s="119"/>
    </row>
    <row r="18" spans="2:13" ht="18" thickTop="1" x14ac:dyDescent="0.35">
      <c r="B18" s="21"/>
      <c r="C18" s="7" t="s">
        <v>59</v>
      </c>
      <c r="D18" s="7"/>
      <c r="E18" s="7" t="s">
        <v>59</v>
      </c>
      <c r="F18" s="7" t="s">
        <v>51</v>
      </c>
      <c r="G18" s="18"/>
      <c r="H18" s="18"/>
    </row>
    <row r="19" spans="2:13" ht="20.25" customHeight="1" thickBot="1" x14ac:dyDescent="0.4">
      <c r="B19" s="22"/>
      <c r="C19" s="8" t="s">
        <v>85</v>
      </c>
      <c r="D19" s="8"/>
      <c r="E19" s="8" t="s">
        <v>82</v>
      </c>
      <c r="F19" s="8" t="s">
        <v>60</v>
      </c>
      <c r="G19" s="20"/>
      <c r="H19" s="20"/>
    </row>
    <row r="20" spans="2:13" ht="18.600000000000001" thickTop="1" thickBot="1" x14ac:dyDescent="0.4">
      <c r="B20" s="22"/>
      <c r="C20" s="9" t="s">
        <v>46</v>
      </c>
      <c r="D20" s="9"/>
      <c r="E20" s="9" t="s">
        <v>77</v>
      </c>
      <c r="F20" s="4" t="s">
        <v>28</v>
      </c>
      <c r="G20" s="16"/>
      <c r="H20" s="19"/>
    </row>
    <row r="21" spans="2:13" ht="18" thickTop="1" x14ac:dyDescent="0.35">
      <c r="B21" s="22"/>
      <c r="C21" s="22"/>
      <c r="D21" s="22"/>
      <c r="E21" s="17"/>
      <c r="F21" s="17"/>
      <c r="G21" s="14"/>
      <c r="H21" s="14"/>
    </row>
    <row r="22" spans="2:13" ht="17.399999999999999" x14ac:dyDescent="0.35">
      <c r="B22" s="22"/>
      <c r="C22" s="22"/>
      <c r="D22" s="22"/>
      <c r="E22" s="15"/>
      <c r="F22" s="15"/>
      <c r="G22" s="15"/>
      <c r="H22" s="15"/>
    </row>
    <row r="23" spans="2:13" ht="17.399999999999999" x14ac:dyDescent="0.35">
      <c r="B23" s="22"/>
      <c r="C23" s="22" t="s">
        <v>100</v>
      </c>
      <c r="D23" s="22"/>
      <c r="E23" s="16" t="s">
        <v>108</v>
      </c>
      <c r="F23" s="16"/>
      <c r="G23" s="16"/>
      <c r="H23" s="16"/>
    </row>
    <row r="25" spans="2:13" ht="15" thickBot="1" x14ac:dyDescent="0.35"/>
    <row r="26" spans="2:13" ht="22.2" thickTop="1" thickBot="1" x14ac:dyDescent="0.35">
      <c r="B26" s="114" t="s">
        <v>188</v>
      </c>
      <c r="C26" s="115"/>
      <c r="D26" s="115"/>
      <c r="E26" s="115"/>
      <c r="F26" s="115"/>
      <c r="G26" s="115"/>
      <c r="H26" s="116"/>
      <c r="M26" s="6" t="s">
        <v>87</v>
      </c>
    </row>
    <row r="27" spans="2:13" ht="18.600000000000001" thickTop="1" thickBot="1" x14ac:dyDescent="0.35">
      <c r="B27" s="1"/>
      <c r="C27" s="2" t="s">
        <v>111</v>
      </c>
      <c r="D27" s="2" t="s">
        <v>102</v>
      </c>
      <c r="E27" s="2" t="s">
        <v>103</v>
      </c>
      <c r="F27" s="2" t="s">
        <v>104</v>
      </c>
      <c r="G27" s="2" t="s">
        <v>105</v>
      </c>
      <c r="H27" s="2" t="s">
        <v>106</v>
      </c>
      <c r="M27" s="4" t="s">
        <v>88</v>
      </c>
    </row>
    <row r="28" spans="2:13" ht="18" thickTop="1" x14ac:dyDescent="0.3">
      <c r="B28" s="11" t="s">
        <v>5</v>
      </c>
      <c r="C28" s="6" t="s">
        <v>61</v>
      </c>
      <c r="D28" s="6" t="s">
        <v>62</v>
      </c>
      <c r="E28" s="6" t="s">
        <v>94</v>
      </c>
      <c r="F28" s="6" t="s">
        <v>61</v>
      </c>
      <c r="G28" s="6" t="s">
        <v>62</v>
      </c>
      <c r="H28" s="6" t="s">
        <v>65</v>
      </c>
    </row>
    <row r="29" spans="2:13" ht="18" thickBot="1" x14ac:dyDescent="0.35">
      <c r="B29" s="3" t="s">
        <v>181</v>
      </c>
      <c r="C29" s="4" t="s">
        <v>8</v>
      </c>
      <c r="D29" s="4" t="s">
        <v>35</v>
      </c>
      <c r="E29" s="4" t="s">
        <v>17</v>
      </c>
      <c r="F29" s="4" t="s">
        <v>79</v>
      </c>
      <c r="G29" s="4" t="s">
        <v>46</v>
      </c>
      <c r="H29" s="4" t="s">
        <v>22</v>
      </c>
    </row>
    <row r="30" spans="2:13" ht="18" thickTop="1" x14ac:dyDescent="0.3">
      <c r="B30" s="11" t="s">
        <v>12</v>
      </c>
      <c r="C30" s="6" t="s">
        <v>65</v>
      </c>
      <c r="D30" s="6" t="s">
        <v>61</v>
      </c>
      <c r="E30" s="6" t="s">
        <v>62</v>
      </c>
      <c r="F30" s="6" t="s">
        <v>94</v>
      </c>
      <c r="G30" s="6" t="s">
        <v>61</v>
      </c>
      <c r="H30" s="6" t="s">
        <v>62</v>
      </c>
      <c r="M30" s="37" t="s">
        <v>44</v>
      </c>
    </row>
    <row r="31" spans="2:13" ht="18" thickBot="1" x14ac:dyDescent="0.35">
      <c r="B31" s="3" t="s">
        <v>182</v>
      </c>
      <c r="C31" s="4" t="s">
        <v>22</v>
      </c>
      <c r="D31" s="4" t="s">
        <v>8</v>
      </c>
      <c r="E31" s="4" t="s">
        <v>35</v>
      </c>
      <c r="F31" s="4" t="s">
        <v>17</v>
      </c>
      <c r="G31" s="4" t="s">
        <v>79</v>
      </c>
      <c r="H31" s="4" t="s">
        <v>46</v>
      </c>
      <c r="M31" s="4" t="s">
        <v>67</v>
      </c>
    </row>
    <row r="32" spans="2:13" ht="18" thickTop="1" x14ac:dyDescent="0.3">
      <c r="B32" s="11" t="s">
        <v>18</v>
      </c>
      <c r="C32" s="6" t="s">
        <v>62</v>
      </c>
      <c r="D32" s="6" t="s">
        <v>65</v>
      </c>
      <c r="E32" s="6" t="s">
        <v>61</v>
      </c>
      <c r="F32" s="6" t="s">
        <v>62</v>
      </c>
      <c r="G32" s="6" t="s">
        <v>94</v>
      </c>
      <c r="H32" s="6" t="s">
        <v>61</v>
      </c>
    </row>
    <row r="33" spans="2:13" ht="18" thickBot="1" x14ac:dyDescent="0.35">
      <c r="B33" s="3" t="s">
        <v>183</v>
      </c>
      <c r="C33" s="4" t="s">
        <v>46</v>
      </c>
      <c r="D33" s="4" t="s">
        <v>22</v>
      </c>
      <c r="E33" s="4" t="s">
        <v>8</v>
      </c>
      <c r="F33" s="4" t="s">
        <v>35</v>
      </c>
      <c r="G33" s="4" t="s">
        <v>17</v>
      </c>
      <c r="H33" s="4" t="s">
        <v>79</v>
      </c>
    </row>
    <row r="34" spans="2:13" ht="18" thickTop="1" x14ac:dyDescent="0.3">
      <c r="B34" s="11" t="s">
        <v>24</v>
      </c>
      <c r="C34" s="6" t="s">
        <v>61</v>
      </c>
      <c r="D34" s="6" t="s">
        <v>62</v>
      </c>
      <c r="E34" s="6" t="s">
        <v>65</v>
      </c>
      <c r="F34" s="6" t="s">
        <v>61</v>
      </c>
      <c r="G34" s="6" t="s">
        <v>62</v>
      </c>
      <c r="H34" s="6" t="s">
        <v>94</v>
      </c>
      <c r="M34" s="6" t="s">
        <v>25</v>
      </c>
    </row>
    <row r="35" spans="2:13" ht="18" thickBot="1" x14ac:dyDescent="0.35">
      <c r="B35" s="3" t="s">
        <v>184</v>
      </c>
      <c r="C35" s="4" t="s">
        <v>79</v>
      </c>
      <c r="D35" s="4" t="s">
        <v>46</v>
      </c>
      <c r="E35" s="4" t="s">
        <v>22</v>
      </c>
      <c r="F35" s="4" t="s">
        <v>8</v>
      </c>
      <c r="G35" s="4" t="s">
        <v>35</v>
      </c>
      <c r="H35" s="4" t="s">
        <v>17</v>
      </c>
      <c r="M35" s="4" t="s">
        <v>99</v>
      </c>
    </row>
    <row r="36" spans="2:13" ht="18.600000000000001" thickTop="1" thickBot="1" x14ac:dyDescent="0.35">
      <c r="B36" s="5" t="s">
        <v>145</v>
      </c>
      <c r="C36" s="117" t="s">
        <v>185</v>
      </c>
      <c r="D36" s="118"/>
      <c r="E36" s="118"/>
      <c r="F36" s="118"/>
      <c r="G36" s="118"/>
      <c r="H36" s="120"/>
      <c r="M36" s="16"/>
    </row>
    <row r="37" spans="2:13" ht="18" thickTop="1" x14ac:dyDescent="0.3">
      <c r="B37" s="11" t="s">
        <v>30</v>
      </c>
      <c r="C37" s="6" t="s">
        <v>94</v>
      </c>
      <c r="D37" s="6" t="s">
        <v>61</v>
      </c>
      <c r="E37" s="6" t="s">
        <v>62</v>
      </c>
      <c r="F37" s="6" t="s">
        <v>65</v>
      </c>
      <c r="G37" s="174"/>
      <c r="H37" s="6" t="s">
        <v>62</v>
      </c>
    </row>
    <row r="38" spans="2:13" ht="18" thickBot="1" x14ac:dyDescent="0.35">
      <c r="B38" s="3" t="s">
        <v>146</v>
      </c>
      <c r="C38" s="4" t="s">
        <v>17</v>
      </c>
      <c r="D38" s="4" t="s">
        <v>79</v>
      </c>
      <c r="E38" s="4" t="s">
        <v>46</v>
      </c>
      <c r="F38" s="4" t="s">
        <v>22</v>
      </c>
      <c r="G38" s="175"/>
      <c r="H38" s="4" t="s">
        <v>35</v>
      </c>
    </row>
    <row r="39" spans="2:13" ht="18" thickTop="1" x14ac:dyDescent="0.3">
      <c r="B39" s="11" t="s">
        <v>39</v>
      </c>
      <c r="C39" s="6" t="s">
        <v>62</v>
      </c>
      <c r="D39" s="6" t="s">
        <v>94</v>
      </c>
      <c r="E39" s="6" t="s">
        <v>61</v>
      </c>
      <c r="F39" s="6" t="s">
        <v>62</v>
      </c>
      <c r="G39" s="6" t="s">
        <v>65</v>
      </c>
      <c r="H39" s="174"/>
    </row>
    <row r="40" spans="2:13" ht="18" thickBot="1" x14ac:dyDescent="0.35">
      <c r="B40" s="3" t="s">
        <v>147</v>
      </c>
      <c r="C40" s="4" t="s">
        <v>35</v>
      </c>
      <c r="D40" s="4" t="s">
        <v>17</v>
      </c>
      <c r="E40" s="4" t="s">
        <v>79</v>
      </c>
      <c r="F40" s="4" t="s">
        <v>46</v>
      </c>
      <c r="G40" s="4" t="s">
        <v>22</v>
      </c>
      <c r="H40" s="175"/>
    </row>
    <row r="41" spans="2:13" ht="18" thickTop="1" x14ac:dyDescent="0.3">
      <c r="B41" s="87"/>
      <c r="C41" s="68"/>
      <c r="D41" s="68"/>
      <c r="E41" s="68"/>
      <c r="F41" s="68"/>
      <c r="G41" s="178" t="s">
        <v>186</v>
      </c>
      <c r="H41" s="179"/>
    </row>
    <row r="42" spans="2:13" ht="18" thickBot="1" x14ac:dyDescent="0.35">
      <c r="B42" s="88"/>
      <c r="C42" s="69"/>
      <c r="D42" s="69"/>
      <c r="E42" s="69"/>
      <c r="F42" s="69"/>
      <c r="G42" s="176" t="s">
        <v>8</v>
      </c>
      <c r="H42" s="177"/>
    </row>
    <row r="43" spans="2:13" ht="15.6" thickTop="1" thickBot="1" x14ac:dyDescent="0.35"/>
    <row r="44" spans="2:13" ht="22.2" thickTop="1" thickBot="1" x14ac:dyDescent="0.35">
      <c r="B44" s="114" t="s">
        <v>130</v>
      </c>
      <c r="C44" s="115"/>
      <c r="D44" s="115"/>
      <c r="E44" s="115"/>
      <c r="F44" s="115"/>
      <c r="G44" s="115"/>
      <c r="H44" s="116"/>
    </row>
    <row r="45" spans="2:13" ht="18.600000000000001" thickTop="1" thickBot="1" x14ac:dyDescent="0.35">
      <c r="B45" s="172"/>
      <c r="C45" s="2" t="s">
        <v>111</v>
      </c>
      <c r="D45" s="65"/>
      <c r="E45" s="66" t="s">
        <v>131</v>
      </c>
      <c r="F45" s="67" t="s">
        <v>132</v>
      </c>
      <c r="G45" s="67"/>
      <c r="H45" s="67" t="s">
        <v>133</v>
      </c>
    </row>
    <row r="46" spans="2:13" ht="18.600000000000001" thickTop="1" thickBot="1" x14ac:dyDescent="0.35">
      <c r="B46" s="173"/>
      <c r="C46" s="65"/>
      <c r="D46" s="65"/>
      <c r="E46" s="2" t="s">
        <v>103</v>
      </c>
      <c r="F46" s="2" t="s">
        <v>102</v>
      </c>
      <c r="G46" s="2"/>
      <c r="H46" s="2" t="s">
        <v>106</v>
      </c>
    </row>
    <row r="47" spans="2:13" ht="18.600000000000001" thickTop="1" thickBot="1" x14ac:dyDescent="0.35">
      <c r="B47" s="11" t="s">
        <v>5</v>
      </c>
      <c r="C47" s="6" t="s">
        <v>13</v>
      </c>
      <c r="D47" s="6"/>
      <c r="E47" s="6" t="s">
        <v>25</v>
      </c>
      <c r="F47" s="6" t="s">
        <v>33</v>
      </c>
      <c r="G47" s="6"/>
      <c r="H47" s="6" t="s">
        <v>44</v>
      </c>
    </row>
    <row r="48" spans="2:13" ht="18" thickBot="1" x14ac:dyDescent="0.35">
      <c r="B48" s="3" t="s">
        <v>134</v>
      </c>
      <c r="C48" s="10" t="s">
        <v>17</v>
      </c>
      <c r="D48" s="10"/>
      <c r="E48" s="10" t="s">
        <v>28</v>
      </c>
      <c r="F48" s="4" t="s">
        <v>37</v>
      </c>
      <c r="G48" s="4"/>
      <c r="H48" s="4" t="s">
        <v>67</v>
      </c>
    </row>
    <row r="49" spans="2:8" ht="18.600000000000001" thickTop="1" thickBot="1" x14ac:dyDescent="0.35">
      <c r="B49" s="11" t="s">
        <v>12</v>
      </c>
      <c r="C49" s="6" t="s">
        <v>19</v>
      </c>
      <c r="D49" s="6"/>
      <c r="E49" s="6" t="s">
        <v>33</v>
      </c>
      <c r="F49" s="6" t="s">
        <v>44</v>
      </c>
      <c r="G49" s="6"/>
      <c r="H49" s="6" t="s">
        <v>25</v>
      </c>
    </row>
    <row r="50" spans="2:8" ht="18" thickBot="1" x14ac:dyDescent="0.35">
      <c r="B50" s="3" t="s">
        <v>135</v>
      </c>
      <c r="C50" s="4" t="s">
        <v>10</v>
      </c>
      <c r="D50" s="4"/>
      <c r="E50" s="4" t="s">
        <v>37</v>
      </c>
      <c r="F50" s="4" t="s">
        <v>67</v>
      </c>
      <c r="G50" s="4"/>
      <c r="H50" s="10" t="s">
        <v>28</v>
      </c>
    </row>
    <row r="51" spans="2:8" ht="18.600000000000001" thickTop="1" thickBot="1" x14ac:dyDescent="0.35">
      <c r="B51" s="5" t="s">
        <v>136</v>
      </c>
      <c r="C51" s="117" t="s">
        <v>23</v>
      </c>
      <c r="D51" s="118"/>
      <c r="E51" s="118"/>
      <c r="F51" s="118"/>
      <c r="G51" s="118"/>
      <c r="H51" s="120"/>
    </row>
    <row r="52" spans="2:8" ht="18.600000000000001" thickTop="1" thickBot="1" x14ac:dyDescent="0.35">
      <c r="B52" s="11" t="s">
        <v>18</v>
      </c>
      <c r="C52" s="6" t="s">
        <v>41</v>
      </c>
      <c r="D52" s="6"/>
      <c r="E52" s="6" t="s">
        <v>44</v>
      </c>
      <c r="F52" s="6" t="s">
        <v>25</v>
      </c>
      <c r="G52" s="6"/>
      <c r="H52" s="68"/>
    </row>
    <row r="53" spans="2:8" ht="18" thickBot="1" x14ac:dyDescent="0.35">
      <c r="B53" s="3" t="s">
        <v>137</v>
      </c>
      <c r="C53" s="4" t="s">
        <v>46</v>
      </c>
      <c r="D53" s="4"/>
      <c r="E53" s="4" t="s">
        <v>67</v>
      </c>
      <c r="F53" s="10" t="s">
        <v>28</v>
      </c>
      <c r="G53" s="4"/>
      <c r="H53" s="69"/>
    </row>
    <row r="54" spans="2:8" ht="15" thickTop="1" x14ac:dyDescent="0.3"/>
    <row r="55" spans="2:8" ht="22.2" thickTop="1" thickBot="1" x14ac:dyDescent="0.35">
      <c r="B55" s="114" t="str">
        <f>_xlfn.CONCAT("HORÁRIO TURMA ENEM ",dataSem," - TURMA 03")</f>
        <v>HORÁRIO TURMA ENEM 13/06 - 17/06 - TURMA 03</v>
      </c>
      <c r="C55" s="115"/>
      <c r="D55" s="115"/>
      <c r="E55" s="115"/>
      <c r="F55" s="115"/>
      <c r="G55" s="115"/>
      <c r="H55" s="116"/>
    </row>
    <row r="56" spans="2:8" ht="18.600000000000001" thickTop="1" thickBot="1" x14ac:dyDescent="0.35">
      <c r="B56" s="1"/>
      <c r="C56" s="2" t="s">
        <v>0</v>
      </c>
      <c r="D56" s="2"/>
      <c r="E56" s="2" t="s">
        <v>1</v>
      </c>
      <c r="F56" s="2" t="s">
        <v>2</v>
      </c>
      <c r="G56" s="2"/>
      <c r="H56" s="2" t="s">
        <v>4</v>
      </c>
    </row>
    <row r="57" spans="2:8" ht="18" thickTop="1" x14ac:dyDescent="0.3">
      <c r="B57" s="11" t="s">
        <v>5</v>
      </c>
      <c r="C57" s="6" t="s">
        <v>98</v>
      </c>
      <c r="D57" s="6"/>
      <c r="E57" s="6" t="s">
        <v>109</v>
      </c>
      <c r="F57" s="6" t="s">
        <v>25</v>
      </c>
      <c r="G57" s="6"/>
      <c r="H57" s="6" t="s">
        <v>40</v>
      </c>
    </row>
    <row r="58" spans="2:8" ht="18" thickBot="1" x14ac:dyDescent="0.35">
      <c r="B58" s="3" t="s">
        <v>68</v>
      </c>
      <c r="C58" s="4" t="s">
        <v>27</v>
      </c>
      <c r="D58" s="4"/>
      <c r="E58" s="4" t="s">
        <v>110</v>
      </c>
      <c r="F58" s="4" t="s">
        <v>28</v>
      </c>
      <c r="G58" s="4"/>
      <c r="H58" s="4" t="s">
        <v>49</v>
      </c>
    </row>
    <row r="59" spans="2:8" ht="18" thickTop="1" x14ac:dyDescent="0.3">
      <c r="B59" s="11" t="s">
        <v>12</v>
      </c>
      <c r="C59" s="6" t="s">
        <v>31</v>
      </c>
      <c r="D59" s="6"/>
      <c r="E59" s="6" t="s">
        <v>75</v>
      </c>
      <c r="F59" s="6" t="s">
        <v>101</v>
      </c>
      <c r="G59" s="6"/>
      <c r="H59" s="6" t="s">
        <v>34</v>
      </c>
    </row>
    <row r="60" spans="2:8" ht="18" thickBot="1" x14ac:dyDescent="0.35">
      <c r="B60" s="3" t="s">
        <v>69</v>
      </c>
      <c r="C60" s="4" t="s">
        <v>35</v>
      </c>
      <c r="D60" s="4"/>
      <c r="E60" s="4" t="s">
        <v>35</v>
      </c>
      <c r="F60" s="4" t="s">
        <v>27</v>
      </c>
      <c r="G60" s="4"/>
      <c r="H60" s="4" t="s">
        <v>38</v>
      </c>
    </row>
    <row r="61" spans="2:8" ht="18" thickTop="1" x14ac:dyDescent="0.3">
      <c r="B61" s="11" t="s">
        <v>18</v>
      </c>
      <c r="C61" s="6" t="s">
        <v>6</v>
      </c>
      <c r="D61" s="6"/>
      <c r="E61" s="6" t="s">
        <v>7</v>
      </c>
      <c r="F61" s="11" t="s">
        <v>42</v>
      </c>
      <c r="G61" s="6"/>
      <c r="H61" s="6" t="s">
        <v>57</v>
      </c>
    </row>
    <row r="62" spans="2:8" ht="18" thickBot="1" x14ac:dyDescent="0.35">
      <c r="B62" s="3" t="s">
        <v>70</v>
      </c>
      <c r="C62" s="4" t="s">
        <v>8</v>
      </c>
      <c r="D62" s="4"/>
      <c r="E62" s="4" t="s">
        <v>9</v>
      </c>
      <c r="F62" s="3" t="s">
        <v>47</v>
      </c>
      <c r="G62" s="4"/>
      <c r="H62" s="4" t="s">
        <v>11</v>
      </c>
    </row>
    <row r="63" spans="2:8" ht="18.600000000000001" thickTop="1" thickBot="1" x14ac:dyDescent="0.35">
      <c r="B63" s="5" t="s">
        <v>71</v>
      </c>
      <c r="C63" s="117" t="s">
        <v>23</v>
      </c>
      <c r="D63" s="118"/>
      <c r="E63" s="118"/>
      <c r="F63" s="120"/>
      <c r="G63" s="86"/>
      <c r="H63" s="42" t="s">
        <v>23</v>
      </c>
    </row>
    <row r="64" spans="2:8" ht="18.600000000000001" thickTop="1" thickBot="1" x14ac:dyDescent="0.35">
      <c r="B64" s="11" t="s">
        <v>24</v>
      </c>
      <c r="C64" s="6" t="s">
        <v>13</v>
      </c>
      <c r="D64" s="6"/>
      <c r="E64" s="6" t="s">
        <v>14</v>
      </c>
      <c r="F64" s="6" t="s">
        <v>43</v>
      </c>
      <c r="G64" s="6"/>
      <c r="H64" s="6" t="s">
        <v>7</v>
      </c>
    </row>
    <row r="65" spans="2:9" ht="18" thickBot="1" x14ac:dyDescent="0.35">
      <c r="B65" s="3" t="s">
        <v>72</v>
      </c>
      <c r="C65" s="10" t="s">
        <v>17</v>
      </c>
      <c r="D65" s="4"/>
      <c r="E65" s="4" t="s">
        <v>52</v>
      </c>
      <c r="F65" s="4" t="s">
        <v>36</v>
      </c>
      <c r="G65" s="4"/>
      <c r="H65" s="4" t="s">
        <v>9</v>
      </c>
    </row>
    <row r="66" spans="2:9" ht="18" thickTop="1" x14ac:dyDescent="0.3">
      <c r="B66" s="11" t="s">
        <v>30</v>
      </c>
      <c r="C66" s="6" t="s">
        <v>19</v>
      </c>
      <c r="D66" s="6"/>
      <c r="E66" s="6" t="s">
        <v>55</v>
      </c>
      <c r="F66" s="6" t="s">
        <v>19</v>
      </c>
      <c r="G66" s="6"/>
      <c r="H66" s="6" t="s">
        <v>96</v>
      </c>
    </row>
    <row r="67" spans="2:9" ht="18" thickBot="1" x14ac:dyDescent="0.35">
      <c r="B67" s="3" t="s">
        <v>73</v>
      </c>
      <c r="C67" s="4" t="s">
        <v>10</v>
      </c>
      <c r="D67" s="4"/>
      <c r="E67" s="4" t="s">
        <v>79</v>
      </c>
      <c r="F67" s="4" t="s">
        <v>10</v>
      </c>
      <c r="G67" s="4"/>
      <c r="H67" s="4" t="s">
        <v>91</v>
      </c>
    </row>
    <row r="68" spans="2:9" ht="18" thickTop="1" x14ac:dyDescent="0.3">
      <c r="B68" s="11" t="s">
        <v>39</v>
      </c>
      <c r="C68" s="6" t="s">
        <v>109</v>
      </c>
      <c r="D68" s="6"/>
      <c r="E68" s="6" t="s">
        <v>54</v>
      </c>
      <c r="F68" s="6" t="s">
        <v>44</v>
      </c>
      <c r="G68" s="6"/>
      <c r="H68" s="6" t="s">
        <v>86</v>
      </c>
    </row>
    <row r="69" spans="2:9" ht="18" thickBot="1" x14ac:dyDescent="0.35">
      <c r="B69" s="3" t="s">
        <v>74</v>
      </c>
      <c r="C69" s="4" t="s">
        <v>92</v>
      </c>
      <c r="D69" s="4"/>
      <c r="E69" s="4" t="s">
        <v>22</v>
      </c>
      <c r="F69" s="4" t="s">
        <v>67</v>
      </c>
      <c r="G69" s="4"/>
      <c r="H69" s="4" t="s">
        <v>21</v>
      </c>
    </row>
    <row r="70" spans="2:9" ht="15.6" thickTop="1" thickBot="1" x14ac:dyDescent="0.35"/>
    <row r="71" spans="2:9" ht="22.2" thickTop="1" thickBot="1" x14ac:dyDescent="0.35">
      <c r="B71" s="114" t="str">
        <f>_xlfn.CONCAT("HORÁRIO TURMA ENEM ",dataSem," - TURMA 04")</f>
        <v>HORÁRIO TURMA ENEM 13/06 - 17/06 - TURMA 04</v>
      </c>
      <c r="C71" s="115"/>
      <c r="D71" s="115"/>
      <c r="E71" s="115"/>
      <c r="F71" s="115"/>
      <c r="G71" s="115"/>
      <c r="H71" s="116"/>
    </row>
    <row r="72" spans="2:9" ht="18.600000000000001" thickTop="1" thickBot="1" x14ac:dyDescent="0.35">
      <c r="B72" s="1"/>
      <c r="C72" s="2" t="s">
        <v>0</v>
      </c>
      <c r="D72" s="2"/>
      <c r="E72" s="2" t="s">
        <v>1</v>
      </c>
      <c r="F72" s="2" t="s">
        <v>2</v>
      </c>
      <c r="G72" s="2"/>
      <c r="H72" s="2" t="s">
        <v>4</v>
      </c>
    </row>
    <row r="73" spans="2:9" ht="18" thickTop="1" x14ac:dyDescent="0.3">
      <c r="B73" s="11" t="s">
        <v>5</v>
      </c>
      <c r="C73" s="6" t="s">
        <v>109</v>
      </c>
      <c r="D73" s="6"/>
      <c r="E73" s="6" t="s">
        <v>54</v>
      </c>
      <c r="F73" s="6" t="s">
        <v>44</v>
      </c>
      <c r="G73" s="6"/>
      <c r="H73" s="6" t="s">
        <v>86</v>
      </c>
    </row>
    <row r="74" spans="2:9" ht="18" thickBot="1" x14ac:dyDescent="0.35">
      <c r="B74" s="3" t="s">
        <v>68</v>
      </c>
      <c r="C74" s="4" t="s">
        <v>92</v>
      </c>
      <c r="D74" s="4"/>
      <c r="E74" s="4" t="s">
        <v>22</v>
      </c>
      <c r="F74" s="4" t="s">
        <v>67</v>
      </c>
      <c r="G74" s="4"/>
      <c r="H74" s="4" t="s">
        <v>21</v>
      </c>
    </row>
    <row r="75" spans="2:9" ht="18" thickTop="1" x14ac:dyDescent="0.3">
      <c r="B75" s="11" t="s">
        <v>12</v>
      </c>
      <c r="C75" s="6" t="s">
        <v>98</v>
      </c>
      <c r="D75" s="6"/>
      <c r="E75" s="6" t="s">
        <v>109</v>
      </c>
      <c r="F75" s="6" t="s">
        <v>25</v>
      </c>
      <c r="G75" s="6"/>
      <c r="H75" s="6" t="s">
        <v>40</v>
      </c>
    </row>
    <row r="76" spans="2:9" ht="18" thickBot="1" x14ac:dyDescent="0.35">
      <c r="B76" s="3" t="s">
        <v>69</v>
      </c>
      <c r="C76" s="4" t="s">
        <v>27</v>
      </c>
      <c r="D76" s="4"/>
      <c r="E76" s="4" t="s">
        <v>110</v>
      </c>
      <c r="F76" s="4" t="s">
        <v>28</v>
      </c>
      <c r="G76" s="4"/>
      <c r="H76" s="4" t="s">
        <v>49</v>
      </c>
    </row>
    <row r="77" spans="2:9" ht="18" thickTop="1" x14ac:dyDescent="0.3">
      <c r="B77" s="11" t="s">
        <v>18</v>
      </c>
      <c r="C77" s="6" t="s">
        <v>31</v>
      </c>
      <c r="D77" s="6"/>
      <c r="E77" s="6" t="s">
        <v>75</v>
      </c>
      <c r="F77" s="6" t="s">
        <v>101</v>
      </c>
      <c r="G77" s="6"/>
      <c r="H77" s="6" t="s">
        <v>34</v>
      </c>
    </row>
    <row r="78" spans="2:9" ht="18" thickBot="1" x14ac:dyDescent="0.35">
      <c r="B78" s="3" t="s">
        <v>70</v>
      </c>
      <c r="C78" s="4" t="s">
        <v>35</v>
      </c>
      <c r="D78" s="4"/>
      <c r="E78" s="4" t="s">
        <v>35</v>
      </c>
      <c r="F78" s="4" t="s">
        <v>27</v>
      </c>
      <c r="G78" s="4"/>
      <c r="H78" s="4" t="s">
        <v>38</v>
      </c>
    </row>
    <row r="79" spans="2:9" ht="18.600000000000001" thickTop="1" thickBot="1" x14ac:dyDescent="0.35">
      <c r="B79" s="5" t="s">
        <v>71</v>
      </c>
      <c r="C79" s="117" t="s">
        <v>23</v>
      </c>
      <c r="D79" s="118"/>
      <c r="E79" s="118"/>
      <c r="F79" s="120"/>
      <c r="G79" s="86"/>
      <c r="H79" s="42" t="s">
        <v>23</v>
      </c>
      <c r="I79" s="39"/>
    </row>
    <row r="80" spans="2:9" ht="18" thickTop="1" x14ac:dyDescent="0.3">
      <c r="B80" s="11" t="s">
        <v>24</v>
      </c>
      <c r="C80" s="6" t="s">
        <v>6</v>
      </c>
      <c r="D80" s="6"/>
      <c r="E80" s="6" t="s">
        <v>7</v>
      </c>
      <c r="F80" s="11" t="s">
        <v>42</v>
      </c>
      <c r="G80" s="6"/>
      <c r="H80" s="6" t="s">
        <v>57</v>
      </c>
    </row>
    <row r="81" spans="2:8" ht="18" thickBot="1" x14ac:dyDescent="0.35">
      <c r="B81" s="3" t="s">
        <v>72</v>
      </c>
      <c r="C81" s="4" t="s">
        <v>8</v>
      </c>
      <c r="D81" s="4"/>
      <c r="E81" s="4" t="s">
        <v>9</v>
      </c>
      <c r="F81" s="3" t="s">
        <v>47</v>
      </c>
      <c r="G81" s="4"/>
      <c r="H81" s="4" t="s">
        <v>11</v>
      </c>
    </row>
    <row r="82" spans="2:8" ht="18.600000000000001" thickTop="1" thickBot="1" x14ac:dyDescent="0.35">
      <c r="B82" s="11" t="s">
        <v>30</v>
      </c>
      <c r="C82" s="6" t="s">
        <v>13</v>
      </c>
      <c r="D82" s="6"/>
      <c r="E82" s="6" t="s">
        <v>14</v>
      </c>
      <c r="F82" s="6" t="s">
        <v>43</v>
      </c>
      <c r="G82" s="6"/>
      <c r="H82" s="6" t="s">
        <v>7</v>
      </c>
    </row>
    <row r="83" spans="2:8" ht="18" thickBot="1" x14ac:dyDescent="0.35">
      <c r="B83" s="3" t="s">
        <v>73</v>
      </c>
      <c r="C83" s="10" t="s">
        <v>17</v>
      </c>
      <c r="D83" s="4"/>
      <c r="E83" s="4" t="s">
        <v>52</v>
      </c>
      <c r="F83" s="4" t="s">
        <v>36</v>
      </c>
      <c r="G83" s="4"/>
      <c r="H83" s="4" t="s">
        <v>9</v>
      </c>
    </row>
    <row r="84" spans="2:8" ht="18" thickTop="1" x14ac:dyDescent="0.3">
      <c r="B84" s="11" t="s">
        <v>39</v>
      </c>
      <c r="C84" s="6" t="s">
        <v>19</v>
      </c>
      <c r="D84" s="6"/>
      <c r="E84" s="6" t="s">
        <v>55</v>
      </c>
      <c r="F84" s="6" t="s">
        <v>19</v>
      </c>
      <c r="G84" s="6"/>
      <c r="H84" s="6" t="s">
        <v>96</v>
      </c>
    </row>
    <row r="85" spans="2:8" ht="18" thickBot="1" x14ac:dyDescent="0.35">
      <c r="B85" s="3" t="s">
        <v>74</v>
      </c>
      <c r="C85" s="4" t="s">
        <v>10</v>
      </c>
      <c r="D85" s="4"/>
      <c r="E85" s="4" t="s">
        <v>79</v>
      </c>
      <c r="F85" s="4" t="s">
        <v>10</v>
      </c>
      <c r="G85" s="4"/>
      <c r="H85" s="4" t="s">
        <v>91</v>
      </c>
    </row>
    <row r="86" spans="2:8" ht="15.6" thickTop="1" thickBot="1" x14ac:dyDescent="0.35"/>
    <row r="87" spans="2:8" ht="22.2" thickTop="1" thickBot="1" x14ac:dyDescent="0.35">
      <c r="B87" s="114" t="str">
        <f>_xlfn.CONCAT("HORÁRIO TURMA ENEM ",dataSem," - TURMA 05")</f>
        <v>HORÁRIO TURMA ENEM 13/06 - 17/06 - TURMA 05</v>
      </c>
      <c r="C87" s="115"/>
      <c r="D87" s="115"/>
      <c r="E87" s="115"/>
      <c r="F87" s="115"/>
      <c r="G87" s="115"/>
      <c r="H87" s="116"/>
    </row>
    <row r="88" spans="2:8" ht="18.600000000000001" thickTop="1" thickBot="1" x14ac:dyDescent="0.35">
      <c r="B88" s="1"/>
      <c r="C88" s="2" t="s">
        <v>0</v>
      </c>
      <c r="D88" s="2"/>
      <c r="E88" s="2" t="s">
        <v>1</v>
      </c>
      <c r="F88" s="2" t="s">
        <v>2</v>
      </c>
      <c r="G88" s="2"/>
      <c r="H88" s="2" t="s">
        <v>4</v>
      </c>
    </row>
    <row r="89" spans="2:8" ht="18" thickTop="1" x14ac:dyDescent="0.3">
      <c r="B89" s="11" t="s">
        <v>5</v>
      </c>
      <c r="C89" s="6" t="s">
        <v>19</v>
      </c>
      <c r="D89" s="6"/>
      <c r="E89" s="6" t="s">
        <v>55</v>
      </c>
      <c r="F89" s="6" t="s">
        <v>19</v>
      </c>
      <c r="G89" s="6"/>
      <c r="H89" s="6" t="s">
        <v>96</v>
      </c>
    </row>
    <row r="90" spans="2:8" ht="18" thickBot="1" x14ac:dyDescent="0.35">
      <c r="B90" s="3" t="s">
        <v>68</v>
      </c>
      <c r="C90" s="4" t="s">
        <v>10</v>
      </c>
      <c r="D90" s="4"/>
      <c r="E90" s="4" t="s">
        <v>79</v>
      </c>
      <c r="F90" s="4" t="s">
        <v>10</v>
      </c>
      <c r="G90" s="4"/>
      <c r="H90" s="4" t="s">
        <v>91</v>
      </c>
    </row>
    <row r="91" spans="2:8" ht="18" thickTop="1" x14ac:dyDescent="0.3">
      <c r="B91" s="11" t="s">
        <v>12</v>
      </c>
      <c r="C91" s="6" t="s">
        <v>109</v>
      </c>
      <c r="D91" s="6"/>
      <c r="E91" s="6" t="s">
        <v>54</v>
      </c>
      <c r="F91" s="6" t="s">
        <v>44</v>
      </c>
      <c r="G91" s="6"/>
      <c r="H91" s="6" t="s">
        <v>86</v>
      </c>
    </row>
    <row r="92" spans="2:8" ht="18" thickBot="1" x14ac:dyDescent="0.35">
      <c r="B92" s="3" t="s">
        <v>69</v>
      </c>
      <c r="C92" s="4" t="s">
        <v>92</v>
      </c>
      <c r="D92" s="4"/>
      <c r="E92" s="4" t="s">
        <v>22</v>
      </c>
      <c r="F92" s="4" t="s">
        <v>67</v>
      </c>
      <c r="G92" s="4"/>
      <c r="H92" s="4" t="s">
        <v>21</v>
      </c>
    </row>
    <row r="93" spans="2:8" ht="18" thickTop="1" x14ac:dyDescent="0.3">
      <c r="B93" s="11" t="s">
        <v>18</v>
      </c>
      <c r="C93" s="6" t="s">
        <v>98</v>
      </c>
      <c r="D93" s="6"/>
      <c r="E93" s="6" t="s">
        <v>109</v>
      </c>
      <c r="F93" s="6" t="s">
        <v>25</v>
      </c>
      <c r="G93" s="6"/>
      <c r="H93" s="6" t="s">
        <v>40</v>
      </c>
    </row>
    <row r="94" spans="2:8" ht="18" thickBot="1" x14ac:dyDescent="0.35">
      <c r="B94" s="3" t="s">
        <v>70</v>
      </c>
      <c r="C94" s="4" t="s">
        <v>27</v>
      </c>
      <c r="D94" s="4"/>
      <c r="E94" s="4" t="s">
        <v>110</v>
      </c>
      <c r="F94" s="4" t="s">
        <v>28</v>
      </c>
      <c r="G94" s="4"/>
      <c r="H94" s="4" t="s">
        <v>49</v>
      </c>
    </row>
    <row r="95" spans="2:8" ht="18.600000000000001" thickTop="1" thickBot="1" x14ac:dyDescent="0.35">
      <c r="B95" s="5" t="s">
        <v>71</v>
      </c>
      <c r="C95" s="117" t="s">
        <v>23</v>
      </c>
      <c r="D95" s="118"/>
      <c r="E95" s="118"/>
      <c r="F95" s="120"/>
      <c r="G95" s="86"/>
      <c r="H95" s="42" t="s">
        <v>23</v>
      </c>
    </row>
    <row r="96" spans="2:8" ht="18" thickTop="1" x14ac:dyDescent="0.3">
      <c r="B96" s="11" t="s">
        <v>24</v>
      </c>
      <c r="C96" s="6" t="s">
        <v>31</v>
      </c>
      <c r="D96" s="6"/>
      <c r="E96" s="6" t="s">
        <v>75</v>
      </c>
      <c r="F96" s="6" t="s">
        <v>101</v>
      </c>
      <c r="G96" s="6"/>
      <c r="H96" s="6" t="s">
        <v>34</v>
      </c>
    </row>
    <row r="97" spans="2:8" ht="18" thickBot="1" x14ac:dyDescent="0.35">
      <c r="B97" s="3" t="s">
        <v>72</v>
      </c>
      <c r="C97" s="4" t="s">
        <v>35</v>
      </c>
      <c r="D97" s="4"/>
      <c r="E97" s="4" t="s">
        <v>35</v>
      </c>
      <c r="F97" s="4" t="s">
        <v>27</v>
      </c>
      <c r="G97" s="4"/>
      <c r="H97" s="4" t="s">
        <v>38</v>
      </c>
    </row>
    <row r="98" spans="2:8" ht="18" thickTop="1" x14ac:dyDescent="0.3">
      <c r="B98" s="11" t="s">
        <v>30</v>
      </c>
      <c r="C98" s="6" t="s">
        <v>6</v>
      </c>
      <c r="D98" s="6"/>
      <c r="E98" s="6" t="s">
        <v>7</v>
      </c>
      <c r="F98" s="11" t="s">
        <v>42</v>
      </c>
      <c r="G98" s="6"/>
      <c r="H98" s="6" t="s">
        <v>57</v>
      </c>
    </row>
    <row r="99" spans="2:8" ht="18" thickBot="1" x14ac:dyDescent="0.35">
      <c r="B99" s="3" t="s">
        <v>73</v>
      </c>
      <c r="C99" s="4" t="s">
        <v>8</v>
      </c>
      <c r="D99" s="4"/>
      <c r="E99" s="4" t="s">
        <v>9</v>
      </c>
      <c r="F99" s="3" t="s">
        <v>47</v>
      </c>
      <c r="G99" s="4"/>
      <c r="H99" s="4" t="s">
        <v>11</v>
      </c>
    </row>
    <row r="100" spans="2:8" ht="18.600000000000001" thickTop="1" thickBot="1" x14ac:dyDescent="0.35">
      <c r="B100" s="11" t="s">
        <v>39</v>
      </c>
      <c r="C100" s="6" t="s">
        <v>13</v>
      </c>
      <c r="D100" s="6"/>
      <c r="E100" s="6" t="s">
        <v>14</v>
      </c>
      <c r="F100" s="6" t="s">
        <v>43</v>
      </c>
      <c r="G100" s="6"/>
      <c r="H100" s="6" t="s">
        <v>7</v>
      </c>
    </row>
    <row r="101" spans="2:8" ht="18" thickBot="1" x14ac:dyDescent="0.35">
      <c r="B101" s="3" t="s">
        <v>74</v>
      </c>
      <c r="C101" s="10" t="s">
        <v>17</v>
      </c>
      <c r="D101" s="4"/>
      <c r="E101" s="4" t="s">
        <v>52</v>
      </c>
      <c r="F101" s="4" t="s">
        <v>36</v>
      </c>
      <c r="G101" s="4"/>
      <c r="H101" s="4" t="s">
        <v>9</v>
      </c>
    </row>
    <row r="102" spans="2:8" ht="15.6" thickTop="1" thickBot="1" x14ac:dyDescent="0.35"/>
    <row r="103" spans="2:8" ht="22.2" thickTop="1" thickBot="1" x14ac:dyDescent="0.35">
      <c r="B103" s="114" t="str">
        <f>_xlfn.CONCAT("HORÁRIO TURMA ENEM ",dataSem," - TURMA 06")</f>
        <v>HORÁRIO TURMA ENEM 13/06 - 17/06 - TURMA 06</v>
      </c>
      <c r="C103" s="115"/>
      <c r="D103" s="115"/>
      <c r="E103" s="115"/>
      <c r="F103" s="115"/>
      <c r="G103" s="115"/>
      <c r="H103" s="116"/>
    </row>
    <row r="104" spans="2:8" ht="18.600000000000001" thickTop="1" thickBot="1" x14ac:dyDescent="0.35">
      <c r="B104" s="1"/>
      <c r="C104" s="2" t="s">
        <v>0</v>
      </c>
      <c r="D104" s="2"/>
      <c r="E104" s="2" t="s">
        <v>1</v>
      </c>
      <c r="F104" s="2" t="s">
        <v>2</v>
      </c>
      <c r="G104" s="2"/>
      <c r="H104" s="2" t="s">
        <v>4</v>
      </c>
    </row>
    <row r="105" spans="2:8" ht="18.600000000000001" thickTop="1" thickBot="1" x14ac:dyDescent="0.35">
      <c r="B105" s="11" t="s">
        <v>5</v>
      </c>
      <c r="C105" s="6" t="s">
        <v>13</v>
      </c>
      <c r="D105" s="6"/>
      <c r="E105" s="6" t="s">
        <v>14</v>
      </c>
      <c r="F105" s="6" t="s">
        <v>43</v>
      </c>
      <c r="G105" s="6"/>
      <c r="H105" s="6" t="s">
        <v>7</v>
      </c>
    </row>
    <row r="106" spans="2:8" ht="18" thickBot="1" x14ac:dyDescent="0.35">
      <c r="B106" s="3" t="s">
        <v>68</v>
      </c>
      <c r="C106" s="10" t="s">
        <v>17</v>
      </c>
      <c r="D106" s="4"/>
      <c r="E106" s="4" t="s">
        <v>52</v>
      </c>
      <c r="F106" s="4" t="s">
        <v>36</v>
      </c>
      <c r="G106" s="4"/>
      <c r="H106" s="4" t="s">
        <v>9</v>
      </c>
    </row>
    <row r="107" spans="2:8" ht="18" thickTop="1" x14ac:dyDescent="0.3">
      <c r="B107" s="11" t="s">
        <v>12</v>
      </c>
      <c r="C107" s="6" t="s">
        <v>19</v>
      </c>
      <c r="D107" s="6"/>
      <c r="E107" s="6" t="s">
        <v>55</v>
      </c>
      <c r="F107" s="6" t="s">
        <v>19</v>
      </c>
      <c r="G107" s="6"/>
      <c r="H107" s="6" t="s">
        <v>96</v>
      </c>
    </row>
    <row r="108" spans="2:8" ht="18" thickBot="1" x14ac:dyDescent="0.35">
      <c r="B108" s="3" t="s">
        <v>69</v>
      </c>
      <c r="C108" s="4" t="s">
        <v>10</v>
      </c>
      <c r="D108" s="4"/>
      <c r="E108" s="4" t="s">
        <v>79</v>
      </c>
      <c r="F108" s="4" t="s">
        <v>10</v>
      </c>
      <c r="G108" s="4"/>
      <c r="H108" s="4" t="s">
        <v>91</v>
      </c>
    </row>
    <row r="109" spans="2:8" ht="18" thickTop="1" x14ac:dyDescent="0.3">
      <c r="B109" s="11" t="s">
        <v>18</v>
      </c>
      <c r="C109" s="6" t="s">
        <v>109</v>
      </c>
      <c r="D109" s="6"/>
      <c r="E109" s="6" t="s">
        <v>54</v>
      </c>
      <c r="F109" s="6" t="s">
        <v>44</v>
      </c>
      <c r="G109" s="6"/>
      <c r="H109" s="6" t="s">
        <v>86</v>
      </c>
    </row>
    <row r="110" spans="2:8" ht="18" thickBot="1" x14ac:dyDescent="0.35">
      <c r="B110" s="3" t="s">
        <v>70</v>
      </c>
      <c r="C110" s="4" t="s">
        <v>92</v>
      </c>
      <c r="D110" s="4"/>
      <c r="E110" s="4" t="s">
        <v>22</v>
      </c>
      <c r="F110" s="4" t="s">
        <v>67</v>
      </c>
      <c r="G110" s="4"/>
      <c r="H110" s="4" t="s">
        <v>21</v>
      </c>
    </row>
    <row r="111" spans="2:8" ht="18.600000000000001" thickTop="1" thickBot="1" x14ac:dyDescent="0.35">
      <c r="B111" s="5" t="s">
        <v>71</v>
      </c>
      <c r="C111" s="117" t="s">
        <v>23</v>
      </c>
      <c r="D111" s="118"/>
      <c r="E111" s="118"/>
      <c r="F111" s="120"/>
      <c r="G111" s="86"/>
      <c r="H111" s="42" t="s">
        <v>23</v>
      </c>
    </row>
    <row r="112" spans="2:8" ht="18" thickTop="1" x14ac:dyDescent="0.3">
      <c r="B112" s="11" t="s">
        <v>24</v>
      </c>
      <c r="C112" s="6" t="s">
        <v>98</v>
      </c>
      <c r="D112" s="6"/>
      <c r="E112" s="6" t="s">
        <v>109</v>
      </c>
      <c r="F112" s="6" t="s">
        <v>25</v>
      </c>
      <c r="G112" s="6"/>
      <c r="H112" s="6" t="s">
        <v>40</v>
      </c>
    </row>
    <row r="113" spans="2:8" ht="18" thickBot="1" x14ac:dyDescent="0.35">
      <c r="B113" s="3" t="s">
        <v>72</v>
      </c>
      <c r="C113" s="4" t="s">
        <v>27</v>
      </c>
      <c r="D113" s="4"/>
      <c r="E113" s="4" t="s">
        <v>110</v>
      </c>
      <c r="F113" s="4" t="s">
        <v>28</v>
      </c>
      <c r="G113" s="4"/>
      <c r="H113" s="4" t="s">
        <v>49</v>
      </c>
    </row>
    <row r="114" spans="2:8" ht="18" thickTop="1" x14ac:dyDescent="0.3">
      <c r="B114" s="11" t="s">
        <v>30</v>
      </c>
      <c r="C114" s="6" t="s">
        <v>31</v>
      </c>
      <c r="D114" s="6"/>
      <c r="E114" s="6" t="s">
        <v>75</v>
      </c>
      <c r="F114" s="6" t="s">
        <v>101</v>
      </c>
      <c r="G114" s="6"/>
      <c r="H114" s="6" t="s">
        <v>34</v>
      </c>
    </row>
    <row r="115" spans="2:8" ht="18" thickBot="1" x14ac:dyDescent="0.35">
      <c r="B115" s="3" t="s">
        <v>73</v>
      </c>
      <c r="C115" s="4" t="s">
        <v>35</v>
      </c>
      <c r="D115" s="4"/>
      <c r="E115" s="4" t="s">
        <v>35</v>
      </c>
      <c r="F115" s="4" t="s">
        <v>27</v>
      </c>
      <c r="G115" s="4"/>
      <c r="H115" s="4" t="s">
        <v>38</v>
      </c>
    </row>
    <row r="116" spans="2:8" ht="18" thickTop="1" x14ac:dyDescent="0.3">
      <c r="B116" s="11" t="s">
        <v>39</v>
      </c>
      <c r="C116" s="6" t="s">
        <v>6</v>
      </c>
      <c r="D116" s="6"/>
      <c r="E116" s="6" t="s">
        <v>7</v>
      </c>
      <c r="F116" s="11" t="s">
        <v>42</v>
      </c>
      <c r="G116" s="6"/>
      <c r="H116" s="6" t="s">
        <v>57</v>
      </c>
    </row>
    <row r="117" spans="2:8" ht="18" thickBot="1" x14ac:dyDescent="0.35">
      <c r="B117" s="3" t="s">
        <v>74</v>
      </c>
      <c r="C117" s="4" t="s">
        <v>8</v>
      </c>
      <c r="D117" s="4"/>
      <c r="E117" s="4" t="s">
        <v>9</v>
      </c>
      <c r="F117" s="3" t="s">
        <v>47</v>
      </c>
      <c r="G117" s="4"/>
      <c r="H117" s="4" t="s">
        <v>11</v>
      </c>
    </row>
    <row r="118" spans="2:8" ht="15" thickTop="1" x14ac:dyDescent="0.3"/>
  </sheetData>
  <mergeCells count="20">
    <mergeCell ref="B44:H44"/>
    <mergeCell ref="B55:H55"/>
    <mergeCell ref="C63:F63"/>
    <mergeCell ref="C51:H51"/>
    <mergeCell ref="B2:H2"/>
    <mergeCell ref="C10:H10"/>
    <mergeCell ref="B17:H17"/>
    <mergeCell ref="B26:H26"/>
    <mergeCell ref="B45:B46"/>
    <mergeCell ref="C36:H36"/>
    <mergeCell ref="H39:H40"/>
    <mergeCell ref="G37:G38"/>
    <mergeCell ref="G42:H42"/>
    <mergeCell ref="G41:H41"/>
    <mergeCell ref="C111:F111"/>
    <mergeCell ref="B71:H71"/>
    <mergeCell ref="C79:F79"/>
    <mergeCell ref="B87:H87"/>
    <mergeCell ref="C95:F95"/>
    <mergeCell ref="B103:H10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ED71B0-633D-4D0B-B33F-EE5F579361CD}">
  <sheetPr codeName="Planilha4"/>
  <dimension ref="B1:M35"/>
  <sheetViews>
    <sheetView topLeftCell="E1" zoomScale="86" zoomScaleNormal="86" workbookViewId="0">
      <selection activeCell="I2" sqref="I2:M9"/>
    </sheetView>
  </sheetViews>
  <sheetFormatPr defaultRowHeight="14.4" x14ac:dyDescent="0.3"/>
  <cols>
    <col min="2" max="2" width="16.33203125" customWidth="1"/>
    <col min="3" max="3" width="27.44140625" customWidth="1"/>
    <col min="4" max="4" width="27.6640625" customWidth="1"/>
    <col min="5" max="5" width="29.5546875" customWidth="1"/>
    <col min="6" max="6" width="30.44140625" customWidth="1"/>
    <col min="7" max="7" width="30.6640625" customWidth="1"/>
    <col min="8" max="8" width="14.33203125" customWidth="1"/>
    <col min="9" max="9" width="27.44140625" customWidth="1"/>
    <col min="10" max="10" width="27.6640625" customWidth="1"/>
    <col min="11" max="11" width="29.5546875" customWidth="1"/>
    <col min="12" max="12" width="30.44140625" customWidth="1"/>
    <col min="13" max="13" width="30.6640625" customWidth="1"/>
  </cols>
  <sheetData>
    <row r="1" spans="2:13" ht="15" thickBot="1" x14ac:dyDescent="0.35"/>
    <row r="2" spans="2:13" ht="24" customHeight="1" thickTop="1" thickBot="1" x14ac:dyDescent="0.35">
      <c r="B2" s="114" t="s">
        <v>237</v>
      </c>
      <c r="C2" s="115"/>
      <c r="D2" s="115"/>
      <c r="E2" s="115"/>
      <c r="F2" s="115"/>
      <c r="G2" s="116"/>
      <c r="H2" s="105"/>
      <c r="I2" s="115" t="s">
        <v>238</v>
      </c>
      <c r="J2" s="115"/>
      <c r="K2" s="115"/>
      <c r="L2" s="115"/>
      <c r="M2" s="116"/>
    </row>
    <row r="3" spans="2:13" ht="18.600000000000001" customHeight="1" thickTop="1" thickBot="1" x14ac:dyDescent="0.35">
      <c r="B3" s="1"/>
      <c r="C3" s="2" t="s">
        <v>0</v>
      </c>
      <c r="D3" s="2" t="s">
        <v>1</v>
      </c>
      <c r="E3" s="2" t="s">
        <v>2</v>
      </c>
      <c r="F3" s="2" t="s">
        <v>3</v>
      </c>
      <c r="G3" s="2" t="s">
        <v>4</v>
      </c>
      <c r="H3" s="106"/>
      <c r="I3" s="2" t="s">
        <v>0</v>
      </c>
      <c r="J3" s="2" t="s">
        <v>1</v>
      </c>
      <c r="K3" s="2" t="s">
        <v>2</v>
      </c>
      <c r="L3" s="2" t="s">
        <v>3</v>
      </c>
      <c r="M3" s="2" t="s">
        <v>4</v>
      </c>
    </row>
    <row r="4" spans="2:13" ht="18.600000000000001" customHeight="1" thickTop="1" x14ac:dyDescent="0.3">
      <c r="B4" s="11" t="s">
        <v>5</v>
      </c>
      <c r="C4" s="184" t="s">
        <v>231</v>
      </c>
      <c r="D4" s="184" t="s">
        <v>231</v>
      </c>
      <c r="E4" s="184" t="s">
        <v>231</v>
      </c>
      <c r="F4" s="184" t="s">
        <v>231</v>
      </c>
      <c r="G4" s="190" t="s">
        <v>231</v>
      </c>
      <c r="H4" s="106"/>
      <c r="I4" s="182" t="s">
        <v>240</v>
      </c>
      <c r="J4" s="184" t="s">
        <v>241</v>
      </c>
      <c r="K4" s="184" t="s">
        <v>242</v>
      </c>
      <c r="L4" s="186" t="s">
        <v>243</v>
      </c>
      <c r="M4" s="187" t="s">
        <v>244</v>
      </c>
    </row>
    <row r="5" spans="2:13" ht="18.600000000000001" customHeight="1" thickBot="1" x14ac:dyDescent="0.35">
      <c r="B5" s="3" t="s">
        <v>69</v>
      </c>
      <c r="C5" s="185"/>
      <c r="D5" s="185"/>
      <c r="E5" s="185"/>
      <c r="F5" s="185"/>
      <c r="G5" s="191"/>
      <c r="I5" s="183"/>
      <c r="J5" s="185"/>
      <c r="K5" s="185"/>
      <c r="L5" s="183"/>
      <c r="M5" s="188"/>
    </row>
    <row r="6" spans="2:13" ht="18.600000000000001" customHeight="1" thickTop="1" thickBot="1" x14ac:dyDescent="0.35">
      <c r="B6" s="5" t="s">
        <v>227</v>
      </c>
      <c r="C6" s="117" t="s">
        <v>23</v>
      </c>
      <c r="D6" s="118"/>
      <c r="E6" s="118"/>
      <c r="F6" s="118"/>
      <c r="G6" s="120"/>
      <c r="I6" s="103" t="s">
        <v>245</v>
      </c>
      <c r="J6" s="103" t="s">
        <v>245</v>
      </c>
      <c r="K6" s="103" t="s">
        <v>245</v>
      </c>
      <c r="L6" s="103" t="s">
        <v>245</v>
      </c>
      <c r="M6" s="104" t="s">
        <v>245</v>
      </c>
    </row>
    <row r="7" spans="2:13" ht="18.600000000000001" customHeight="1" thickTop="1" thickBot="1" x14ac:dyDescent="0.35">
      <c r="B7" s="11" t="s">
        <v>12</v>
      </c>
      <c r="C7" s="190" t="s">
        <v>231</v>
      </c>
      <c r="D7" s="6" t="s">
        <v>61</v>
      </c>
      <c r="E7" s="43" t="s">
        <v>65</v>
      </c>
      <c r="F7" s="43" t="s">
        <v>94</v>
      </c>
      <c r="G7" s="45" t="s">
        <v>62</v>
      </c>
      <c r="I7" s="98" t="s">
        <v>246</v>
      </c>
      <c r="J7" s="102" t="s">
        <v>247</v>
      </c>
      <c r="K7" s="100" t="s">
        <v>248</v>
      </c>
      <c r="L7" s="99" t="s">
        <v>246</v>
      </c>
      <c r="M7" s="101" t="s">
        <v>246</v>
      </c>
    </row>
    <row r="8" spans="2:13" ht="18.600000000000001" customHeight="1" thickTop="1" thickBot="1" x14ac:dyDescent="0.35">
      <c r="B8" s="3" t="s">
        <v>181</v>
      </c>
      <c r="C8" s="191"/>
      <c r="D8" s="94" t="s">
        <v>206</v>
      </c>
      <c r="E8" s="92" t="s">
        <v>48</v>
      </c>
      <c r="F8" s="92" t="s">
        <v>37</v>
      </c>
      <c r="G8" s="93" t="s">
        <v>90</v>
      </c>
      <c r="I8" s="187" t="s">
        <v>249</v>
      </c>
      <c r="J8" s="189" t="s">
        <v>250</v>
      </c>
      <c r="K8" s="180"/>
      <c r="L8" s="180" t="s">
        <v>251</v>
      </c>
      <c r="M8" s="180" t="s">
        <v>252</v>
      </c>
    </row>
    <row r="9" spans="2:13" ht="18.600000000000001" customHeight="1" thickTop="1" thickBot="1" x14ac:dyDescent="0.35">
      <c r="B9" s="11" t="s">
        <v>18</v>
      </c>
      <c r="C9" s="192" t="s">
        <v>232</v>
      </c>
      <c r="D9" s="6" t="s">
        <v>61</v>
      </c>
      <c r="E9" s="43" t="s">
        <v>65</v>
      </c>
      <c r="F9" s="43" t="s">
        <v>94</v>
      </c>
      <c r="G9" s="49" t="s">
        <v>62</v>
      </c>
      <c r="I9" s="188"/>
      <c r="J9" s="181"/>
      <c r="K9" s="181"/>
      <c r="L9" s="181"/>
      <c r="M9" s="181"/>
    </row>
    <row r="10" spans="2:13" ht="18.600000000000001" customHeight="1" thickTop="1" thickBot="1" x14ac:dyDescent="0.35">
      <c r="B10" s="3" t="s">
        <v>182</v>
      </c>
      <c r="C10" s="193"/>
      <c r="D10" s="94" t="s">
        <v>206</v>
      </c>
      <c r="E10" s="92" t="s">
        <v>48</v>
      </c>
      <c r="F10" s="92" t="s">
        <v>37</v>
      </c>
      <c r="G10" s="93" t="s">
        <v>90</v>
      </c>
    </row>
    <row r="11" spans="2:13" ht="18.600000000000001" thickTop="1" thickBot="1" x14ac:dyDescent="0.35">
      <c r="B11" s="5" t="s">
        <v>198</v>
      </c>
      <c r="C11" s="117" t="s">
        <v>23</v>
      </c>
      <c r="D11" s="118"/>
      <c r="E11" s="118"/>
      <c r="F11" s="118"/>
      <c r="G11" s="120"/>
    </row>
    <row r="12" spans="2:13" ht="18" thickTop="1" x14ac:dyDescent="0.3">
      <c r="B12" s="11" t="s">
        <v>18</v>
      </c>
      <c r="C12" s="194" t="s">
        <v>232</v>
      </c>
      <c r="D12" s="184" t="s">
        <v>231</v>
      </c>
      <c r="E12" s="184" t="s">
        <v>231</v>
      </c>
      <c r="F12" s="184" t="s">
        <v>231</v>
      </c>
      <c r="G12" s="190" t="s">
        <v>231</v>
      </c>
    </row>
    <row r="13" spans="2:13" ht="18" thickBot="1" x14ac:dyDescent="0.35">
      <c r="B13" s="3" t="s">
        <v>73</v>
      </c>
      <c r="C13" s="195"/>
      <c r="D13" s="185"/>
      <c r="E13" s="185"/>
      <c r="F13" s="185"/>
      <c r="G13" s="191"/>
    </row>
    <row r="14" spans="2:13" ht="18" thickTop="1" x14ac:dyDescent="0.3">
      <c r="B14" s="11" t="s">
        <v>24</v>
      </c>
      <c r="C14" s="184" t="s">
        <v>231</v>
      </c>
      <c r="D14" s="184" t="s">
        <v>231</v>
      </c>
      <c r="E14" s="184" t="s">
        <v>231</v>
      </c>
      <c r="F14" s="184" t="s">
        <v>231</v>
      </c>
      <c r="G14" s="190" t="s">
        <v>231</v>
      </c>
    </row>
    <row r="15" spans="2:13" ht="18" thickBot="1" x14ac:dyDescent="0.35">
      <c r="B15" s="3" t="s">
        <v>74</v>
      </c>
      <c r="C15" s="185"/>
      <c r="D15" s="185"/>
      <c r="E15" s="185"/>
      <c r="F15" s="185"/>
      <c r="G15" s="191"/>
    </row>
    <row r="16" spans="2:13" ht="18.600000000000001" thickTop="1" thickBot="1" x14ac:dyDescent="0.35">
      <c r="B16" s="5" t="s">
        <v>228</v>
      </c>
      <c r="C16" s="117" t="s">
        <v>160</v>
      </c>
      <c r="D16" s="118"/>
      <c r="E16" s="118"/>
      <c r="F16" s="118"/>
      <c r="G16" s="120"/>
    </row>
    <row r="17" spans="2:8" ht="18" thickTop="1" x14ac:dyDescent="0.3">
      <c r="B17" s="11" t="s">
        <v>30</v>
      </c>
      <c r="C17" s="6" t="s">
        <v>233</v>
      </c>
      <c r="D17" s="190" t="s">
        <v>231</v>
      </c>
      <c r="E17" s="6" t="s">
        <v>78</v>
      </c>
      <c r="F17" s="6" t="s">
        <v>236</v>
      </c>
      <c r="G17" s="45" t="s">
        <v>64</v>
      </c>
    </row>
    <row r="18" spans="2:8" ht="18" thickBot="1" x14ac:dyDescent="0.35">
      <c r="B18" s="3" t="s">
        <v>134</v>
      </c>
      <c r="C18" s="91" t="s">
        <v>206</v>
      </c>
      <c r="D18" s="191"/>
      <c r="E18" s="94" t="s">
        <v>196</v>
      </c>
      <c r="F18" s="94" t="s">
        <v>37</v>
      </c>
      <c r="G18" s="94" t="s">
        <v>38</v>
      </c>
    </row>
    <row r="19" spans="2:8" ht="18" thickTop="1" x14ac:dyDescent="0.3">
      <c r="B19" s="11" t="s">
        <v>39</v>
      </c>
      <c r="C19" s="6" t="s">
        <v>233</v>
      </c>
      <c r="D19" s="6" t="s">
        <v>234</v>
      </c>
      <c r="E19" s="6" t="s">
        <v>78</v>
      </c>
      <c r="F19" s="6" t="s">
        <v>236</v>
      </c>
      <c r="G19" s="45" t="s">
        <v>64</v>
      </c>
    </row>
    <row r="20" spans="2:8" ht="18" thickBot="1" x14ac:dyDescent="0.35">
      <c r="B20" s="3" t="s">
        <v>135</v>
      </c>
      <c r="C20" s="91" t="s">
        <v>206</v>
      </c>
      <c r="D20" s="94" t="s">
        <v>35</v>
      </c>
      <c r="E20" s="94" t="s">
        <v>196</v>
      </c>
      <c r="F20" s="94" t="s">
        <v>37</v>
      </c>
      <c r="G20" s="94" t="s">
        <v>38</v>
      </c>
    </row>
    <row r="21" spans="2:8" ht="18.600000000000001" thickTop="1" thickBot="1" x14ac:dyDescent="0.35">
      <c r="B21" s="5" t="s">
        <v>229</v>
      </c>
      <c r="C21" s="117" t="s">
        <v>160</v>
      </c>
      <c r="D21" s="118"/>
      <c r="E21" s="118"/>
      <c r="F21" s="118"/>
      <c r="G21" s="120"/>
    </row>
    <row r="22" spans="2:8" ht="18" thickTop="1" x14ac:dyDescent="0.3">
      <c r="B22" s="11" t="s">
        <v>30</v>
      </c>
      <c r="C22" s="190" t="s">
        <v>231</v>
      </c>
      <c r="D22" s="6" t="s">
        <v>234</v>
      </c>
      <c r="E22" s="6" t="s">
        <v>235</v>
      </c>
      <c r="F22" s="184" t="s">
        <v>231</v>
      </c>
      <c r="G22" s="190" t="s">
        <v>231</v>
      </c>
    </row>
    <row r="23" spans="2:8" ht="18" thickBot="1" x14ac:dyDescent="0.35">
      <c r="B23" s="3" t="s">
        <v>230</v>
      </c>
      <c r="C23" s="191"/>
      <c r="D23" s="94" t="s">
        <v>35</v>
      </c>
      <c r="E23" s="94" t="s">
        <v>36</v>
      </c>
      <c r="F23" s="185"/>
      <c r="G23" s="191"/>
    </row>
    <row r="24" spans="2:8" ht="18" thickTop="1" x14ac:dyDescent="0.3">
      <c r="B24" s="11" t="s">
        <v>39</v>
      </c>
      <c r="C24" s="184" t="s">
        <v>231</v>
      </c>
      <c r="D24" s="196" t="s">
        <v>231</v>
      </c>
      <c r="E24" s="6" t="s">
        <v>235</v>
      </c>
      <c r="F24" s="184" t="s">
        <v>231</v>
      </c>
      <c r="G24" s="184" t="s">
        <v>231</v>
      </c>
      <c r="H24" s="39"/>
    </row>
    <row r="25" spans="2:8" ht="18" thickBot="1" x14ac:dyDescent="0.35">
      <c r="B25" s="3" t="s">
        <v>170</v>
      </c>
      <c r="C25" s="185"/>
      <c r="D25" s="191"/>
      <c r="E25" s="94" t="s">
        <v>36</v>
      </c>
      <c r="F25" s="185"/>
      <c r="G25" s="185"/>
      <c r="H25" s="39"/>
    </row>
    <row r="26" spans="2:8" ht="15.6" thickTop="1" thickBot="1" x14ac:dyDescent="0.35"/>
    <row r="27" spans="2:8" ht="22.2" thickTop="1" thickBot="1" x14ac:dyDescent="0.35">
      <c r="B27" s="114" t="s">
        <v>238</v>
      </c>
      <c r="C27" s="115"/>
      <c r="D27" s="115"/>
      <c r="E27" s="115"/>
      <c r="F27" s="115"/>
      <c r="G27" s="116"/>
    </row>
    <row r="28" spans="2:8" ht="18.600000000000001" thickTop="1" thickBot="1" x14ac:dyDescent="0.35">
      <c r="B28" s="1"/>
      <c r="C28" s="2" t="s">
        <v>0</v>
      </c>
      <c r="D28" s="2" t="s">
        <v>1</v>
      </c>
      <c r="E28" s="2" t="s">
        <v>2</v>
      </c>
      <c r="F28" s="2" t="s">
        <v>3</v>
      </c>
      <c r="G28" s="2" t="s">
        <v>4</v>
      </c>
    </row>
    <row r="29" spans="2:8" ht="18" customHeight="1" thickTop="1" x14ac:dyDescent="0.3">
      <c r="B29" s="124" t="s">
        <v>239</v>
      </c>
      <c r="C29" s="186" t="s">
        <v>240</v>
      </c>
      <c r="D29" s="184" t="s">
        <v>241</v>
      </c>
      <c r="E29" s="184" t="s">
        <v>242</v>
      </c>
      <c r="F29" s="186" t="s">
        <v>243</v>
      </c>
      <c r="G29" s="187" t="s">
        <v>244</v>
      </c>
    </row>
    <row r="30" spans="2:8" ht="15" thickBot="1" x14ac:dyDescent="0.35">
      <c r="B30" s="125"/>
      <c r="C30" s="183"/>
      <c r="D30" s="185"/>
      <c r="E30" s="185"/>
      <c r="F30" s="183"/>
      <c r="G30" s="188"/>
    </row>
    <row r="31" spans="2:8" ht="18.600000000000001" thickTop="1" thickBot="1" x14ac:dyDescent="0.35">
      <c r="B31" s="13"/>
      <c r="C31" s="103" t="s">
        <v>245</v>
      </c>
      <c r="D31" s="103" t="s">
        <v>245</v>
      </c>
      <c r="E31" s="103" t="s">
        <v>245</v>
      </c>
      <c r="F31" s="103" t="s">
        <v>245</v>
      </c>
      <c r="G31" s="104" t="s">
        <v>245</v>
      </c>
    </row>
    <row r="32" spans="2:8" ht="18.600000000000001" thickTop="1" thickBot="1" x14ac:dyDescent="0.35">
      <c r="B32" s="13"/>
      <c r="C32" s="98" t="s">
        <v>246</v>
      </c>
      <c r="D32" s="102" t="s">
        <v>247</v>
      </c>
      <c r="E32" s="100" t="s">
        <v>248</v>
      </c>
      <c r="F32" s="99" t="s">
        <v>246</v>
      </c>
      <c r="G32" s="101" t="s">
        <v>246</v>
      </c>
    </row>
    <row r="33" spans="2:7" ht="18" thickTop="1" x14ac:dyDescent="0.3">
      <c r="B33" s="11"/>
      <c r="C33" s="187" t="s">
        <v>249</v>
      </c>
      <c r="D33" s="189" t="s">
        <v>250</v>
      </c>
      <c r="E33" s="180" t="s">
        <v>65</v>
      </c>
      <c r="F33" s="180" t="s">
        <v>251</v>
      </c>
      <c r="G33" s="180" t="s">
        <v>252</v>
      </c>
    </row>
    <row r="34" spans="2:7" ht="18" thickBot="1" x14ac:dyDescent="0.35">
      <c r="B34" s="3"/>
      <c r="C34" s="188"/>
      <c r="D34" s="181"/>
      <c r="E34" s="181"/>
      <c r="F34" s="181"/>
      <c r="G34" s="181"/>
    </row>
    <row r="35" spans="2:7" ht="15" thickTop="1" x14ac:dyDescent="0.3"/>
  </sheetData>
  <mergeCells count="53">
    <mergeCell ref="B2:G2"/>
    <mergeCell ref="C11:G11"/>
    <mergeCell ref="C16:G16"/>
    <mergeCell ref="G4:G5"/>
    <mergeCell ref="J4:J5"/>
    <mergeCell ref="C4:C5"/>
    <mergeCell ref="E4:E5"/>
    <mergeCell ref="J8:J9"/>
    <mergeCell ref="C6:G6"/>
    <mergeCell ref="D4:D5"/>
    <mergeCell ref="F4:F5"/>
    <mergeCell ref="C7:C8"/>
    <mergeCell ref="C14:C15"/>
    <mergeCell ref="D14:D15"/>
    <mergeCell ref="D12:D13"/>
    <mergeCell ref="E12:E13"/>
    <mergeCell ref="D17:D18"/>
    <mergeCell ref="C9:C10"/>
    <mergeCell ref="C12:C13"/>
    <mergeCell ref="C22:C23"/>
    <mergeCell ref="C24:C25"/>
    <mergeCell ref="D24:D25"/>
    <mergeCell ref="C21:G21"/>
    <mergeCell ref="G12:G13"/>
    <mergeCell ref="G14:G15"/>
    <mergeCell ref="F12:F13"/>
    <mergeCell ref="F14:F15"/>
    <mergeCell ref="E14:E15"/>
    <mergeCell ref="G22:G23"/>
    <mergeCell ref="G24:G25"/>
    <mergeCell ref="F22:F23"/>
    <mergeCell ref="F24:F25"/>
    <mergeCell ref="B27:G27"/>
    <mergeCell ref="C29:C30"/>
    <mergeCell ref="D29:D30"/>
    <mergeCell ref="E29:E30"/>
    <mergeCell ref="F29:F30"/>
    <mergeCell ref="G29:G30"/>
    <mergeCell ref="C33:C34"/>
    <mergeCell ref="B29:B30"/>
    <mergeCell ref="G33:G34"/>
    <mergeCell ref="F33:F34"/>
    <mergeCell ref="E33:E34"/>
    <mergeCell ref="D33:D34"/>
    <mergeCell ref="K8:K9"/>
    <mergeCell ref="L8:L9"/>
    <mergeCell ref="M8:M9"/>
    <mergeCell ref="I2:M2"/>
    <mergeCell ref="I4:I5"/>
    <mergeCell ref="K4:K5"/>
    <mergeCell ref="L4:L5"/>
    <mergeCell ref="M4:M5"/>
    <mergeCell ref="I8:I9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2:H24"/>
  <sheetViews>
    <sheetView zoomScaleNormal="100" workbookViewId="0">
      <selection activeCell="B3" sqref="B3:G14"/>
    </sheetView>
  </sheetViews>
  <sheetFormatPr defaultRowHeight="14.4" x14ac:dyDescent="0.3"/>
  <cols>
    <col min="2" max="2" width="14.88671875" customWidth="1"/>
    <col min="3" max="3" width="24.77734375" customWidth="1"/>
    <col min="4" max="5" width="25.77734375" customWidth="1"/>
    <col min="6" max="7" width="24.77734375" customWidth="1"/>
    <col min="8" max="8" width="27.109375" customWidth="1"/>
  </cols>
  <sheetData>
    <row r="2" spans="2:8" ht="15" thickBot="1" x14ac:dyDescent="0.35"/>
    <row r="3" spans="2:8" ht="22.2" thickTop="1" thickBot="1" x14ac:dyDescent="0.35">
      <c r="B3" s="130" t="s">
        <v>299</v>
      </c>
      <c r="C3" s="131"/>
      <c r="D3" s="131"/>
      <c r="E3" s="131"/>
      <c r="F3" s="131"/>
      <c r="G3" s="197"/>
      <c r="H3" s="31"/>
    </row>
    <row r="4" spans="2:8" ht="18.600000000000001" thickTop="1" thickBot="1" x14ac:dyDescent="0.35">
      <c r="B4" s="26"/>
      <c r="C4" s="27" t="s">
        <v>0</v>
      </c>
      <c r="D4" s="27" t="s">
        <v>1</v>
      </c>
      <c r="E4" s="27" t="s">
        <v>2</v>
      </c>
      <c r="F4" s="27" t="s">
        <v>3</v>
      </c>
      <c r="G4" s="27" t="s">
        <v>4</v>
      </c>
      <c r="H4" s="30"/>
    </row>
    <row r="5" spans="2:8" ht="18" hidden="1" thickTop="1" x14ac:dyDescent="0.3">
      <c r="B5" s="107"/>
      <c r="C5" s="108"/>
      <c r="D5" s="43" t="s">
        <v>294</v>
      </c>
      <c r="E5" s="108"/>
      <c r="F5" s="108"/>
      <c r="G5" s="108"/>
      <c r="H5" s="32"/>
    </row>
    <row r="6" spans="2:8" ht="18" hidden="1" thickBot="1" x14ac:dyDescent="0.35">
      <c r="B6" s="109"/>
      <c r="C6" s="110"/>
      <c r="D6" s="25" t="s">
        <v>10</v>
      </c>
      <c r="E6" s="110"/>
      <c r="F6" s="110"/>
      <c r="G6" s="110"/>
      <c r="H6" s="32"/>
    </row>
    <row r="7" spans="2:8" ht="18" thickTop="1" x14ac:dyDescent="0.3">
      <c r="B7" s="24" t="s">
        <v>81</v>
      </c>
      <c r="C7" s="43" t="s">
        <v>19</v>
      </c>
      <c r="D7" s="43" t="s">
        <v>78</v>
      </c>
      <c r="E7" s="43" t="s">
        <v>94</v>
      </c>
      <c r="F7" s="43" t="s">
        <v>62</v>
      </c>
      <c r="G7" s="43" t="s">
        <v>64</v>
      </c>
      <c r="H7" s="29"/>
    </row>
    <row r="8" spans="2:8" ht="18" thickBot="1" x14ac:dyDescent="0.35">
      <c r="B8" s="40" t="s">
        <v>134</v>
      </c>
      <c r="C8" s="25" t="s">
        <v>10</v>
      </c>
      <c r="D8" s="25" t="s">
        <v>27</v>
      </c>
      <c r="E8" s="25" t="s">
        <v>47</v>
      </c>
      <c r="F8" s="25" t="s">
        <v>90</v>
      </c>
      <c r="G8" s="25" t="s">
        <v>38</v>
      </c>
      <c r="H8" s="23"/>
    </row>
    <row r="9" spans="2:8" ht="18" thickTop="1" x14ac:dyDescent="0.3">
      <c r="B9" s="41" t="s">
        <v>80</v>
      </c>
      <c r="C9" s="43" t="s">
        <v>298</v>
      </c>
      <c r="D9" s="43" t="s">
        <v>78</v>
      </c>
      <c r="E9" s="43" t="s">
        <v>78</v>
      </c>
      <c r="F9" s="43" t="s">
        <v>94</v>
      </c>
      <c r="G9" s="43" t="s">
        <v>62</v>
      </c>
      <c r="H9" s="23"/>
    </row>
    <row r="10" spans="2:8" ht="18" thickBot="1" x14ac:dyDescent="0.35">
      <c r="B10" s="25" t="s">
        <v>135</v>
      </c>
      <c r="C10" s="25" t="s">
        <v>256</v>
      </c>
      <c r="D10" s="25" t="s">
        <v>27</v>
      </c>
      <c r="E10" s="25" t="s">
        <v>28</v>
      </c>
      <c r="F10" s="25" t="s">
        <v>47</v>
      </c>
      <c r="G10" s="25" t="s">
        <v>90</v>
      </c>
      <c r="H10" s="23"/>
    </row>
    <row r="11" spans="2:8" ht="18" thickTop="1" x14ac:dyDescent="0.3">
      <c r="B11" s="41" t="s">
        <v>171</v>
      </c>
      <c r="C11" s="43" t="s">
        <v>62</v>
      </c>
      <c r="D11" s="43" t="s">
        <v>63</v>
      </c>
      <c r="E11" s="43" t="s">
        <v>19</v>
      </c>
      <c r="F11" s="43" t="s">
        <v>94</v>
      </c>
      <c r="G11" s="111"/>
      <c r="H11" s="23"/>
    </row>
    <row r="12" spans="2:8" ht="18" thickBot="1" x14ac:dyDescent="0.35">
      <c r="B12" s="25" t="s">
        <v>178</v>
      </c>
      <c r="C12" s="25" t="s">
        <v>291</v>
      </c>
      <c r="D12" s="25" t="s">
        <v>9</v>
      </c>
      <c r="E12" s="25" t="s">
        <v>10</v>
      </c>
      <c r="F12" s="25" t="s">
        <v>292</v>
      </c>
      <c r="G12" s="112"/>
      <c r="H12" s="23"/>
    </row>
    <row r="13" spans="2:8" ht="18" thickTop="1" x14ac:dyDescent="0.3">
      <c r="B13" s="41" t="s">
        <v>297</v>
      </c>
      <c r="C13" s="43" t="s">
        <v>61</v>
      </c>
      <c r="D13" s="43" t="s">
        <v>61</v>
      </c>
      <c r="E13" s="43" t="s">
        <v>65</v>
      </c>
      <c r="F13" s="43" t="s">
        <v>61</v>
      </c>
      <c r="G13" s="111"/>
      <c r="H13" s="28"/>
    </row>
    <row r="14" spans="2:8" ht="18" thickBot="1" x14ac:dyDescent="0.35">
      <c r="B14" s="25" t="s">
        <v>180</v>
      </c>
      <c r="C14" s="25" t="s">
        <v>79</v>
      </c>
      <c r="D14" s="25" t="s">
        <v>79</v>
      </c>
      <c r="E14" s="25" t="s">
        <v>36</v>
      </c>
      <c r="F14" s="25" t="s">
        <v>107</v>
      </c>
      <c r="G14" s="113"/>
      <c r="H14" s="28"/>
    </row>
    <row r="15" spans="2:8" ht="15.6" thickTop="1" thickBot="1" x14ac:dyDescent="0.35"/>
    <row r="16" spans="2:8" ht="22.2" thickTop="1" thickBot="1" x14ac:dyDescent="0.35">
      <c r="B16" s="130" t="s">
        <v>295</v>
      </c>
      <c r="C16" s="131"/>
      <c r="D16" s="131"/>
      <c r="E16" s="131"/>
      <c r="F16" s="131"/>
      <c r="G16" s="197"/>
    </row>
    <row r="17" spans="2:7" ht="18.600000000000001" thickTop="1" thickBot="1" x14ac:dyDescent="0.35">
      <c r="B17" s="26"/>
      <c r="C17" s="27" t="s">
        <v>0</v>
      </c>
      <c r="D17" s="27" t="s">
        <v>1</v>
      </c>
      <c r="E17" s="27" t="s">
        <v>2</v>
      </c>
      <c r="F17" s="27" t="s">
        <v>3</v>
      </c>
      <c r="G17" s="27" t="s">
        <v>4</v>
      </c>
    </row>
    <row r="18" spans="2:7" ht="18" thickTop="1" x14ac:dyDescent="0.3">
      <c r="B18" s="24" t="s">
        <v>81</v>
      </c>
      <c r="C18" s="43" t="s">
        <v>65</v>
      </c>
      <c r="D18" s="43" t="s">
        <v>19</v>
      </c>
      <c r="E18" s="43" t="s">
        <v>94</v>
      </c>
      <c r="F18" s="43" t="s">
        <v>94</v>
      </c>
      <c r="G18" s="43" t="s">
        <v>64</v>
      </c>
    </row>
    <row r="19" spans="2:7" ht="18" thickBot="1" x14ac:dyDescent="0.35">
      <c r="B19" s="25" t="s">
        <v>135</v>
      </c>
      <c r="C19" s="25" t="s">
        <v>256</v>
      </c>
      <c r="D19" s="25" t="s">
        <v>10</v>
      </c>
      <c r="E19" s="25" t="s">
        <v>47</v>
      </c>
      <c r="F19" s="25" t="s">
        <v>292</v>
      </c>
      <c r="G19" s="25" t="s">
        <v>38</v>
      </c>
    </row>
    <row r="20" spans="2:7" ht="18" thickTop="1" x14ac:dyDescent="0.3">
      <c r="B20" s="24" t="s">
        <v>80</v>
      </c>
      <c r="C20" s="43" t="s">
        <v>61</v>
      </c>
      <c r="D20" s="43" t="s">
        <v>78</v>
      </c>
      <c r="E20" s="43" t="s">
        <v>65</v>
      </c>
      <c r="F20" s="43" t="s">
        <v>94</v>
      </c>
      <c r="G20" s="43" t="s">
        <v>62</v>
      </c>
    </row>
    <row r="21" spans="2:7" ht="18" thickBot="1" x14ac:dyDescent="0.35">
      <c r="B21" s="25" t="s">
        <v>178</v>
      </c>
      <c r="C21" s="25" t="s">
        <v>107</v>
      </c>
      <c r="D21" s="25" t="s">
        <v>27</v>
      </c>
      <c r="E21" s="25" t="s">
        <v>48</v>
      </c>
      <c r="F21" s="25" t="s">
        <v>47</v>
      </c>
      <c r="G21" s="25" t="s">
        <v>90</v>
      </c>
    </row>
    <row r="22" spans="2:7" ht="18" thickTop="1" x14ac:dyDescent="0.3">
      <c r="B22" s="41" t="s">
        <v>171</v>
      </c>
      <c r="C22" s="43" t="s">
        <v>61</v>
      </c>
      <c r="D22" s="43" t="s">
        <v>61</v>
      </c>
      <c r="E22" s="43" t="s">
        <v>65</v>
      </c>
      <c r="F22" s="43" t="s">
        <v>61</v>
      </c>
      <c r="G22" s="43" t="s">
        <v>63</v>
      </c>
    </row>
    <row r="23" spans="2:7" ht="18" thickBot="1" x14ac:dyDescent="0.35">
      <c r="B23" s="25" t="s">
        <v>180</v>
      </c>
      <c r="C23" s="25" t="s">
        <v>107</v>
      </c>
      <c r="D23" s="25" t="s">
        <v>79</v>
      </c>
      <c r="E23" s="25" t="s">
        <v>48</v>
      </c>
      <c r="F23" s="25" t="s">
        <v>107</v>
      </c>
      <c r="G23" s="25" t="s">
        <v>49</v>
      </c>
    </row>
    <row r="24" spans="2:7" ht="15" thickTop="1" x14ac:dyDescent="0.3"/>
  </sheetData>
  <mergeCells count="2">
    <mergeCell ref="B16:G16"/>
    <mergeCell ref="B3:G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A0AC3-E75C-42FA-946C-1AE3F9369727}">
  <sheetPr codeName="Planilha7"/>
  <dimension ref="B2:K54"/>
  <sheetViews>
    <sheetView topLeftCell="A7" zoomScale="86" zoomScaleNormal="86" workbookViewId="0">
      <selection activeCell="B10" sqref="B10:H29"/>
    </sheetView>
  </sheetViews>
  <sheetFormatPr defaultRowHeight="14.4" x14ac:dyDescent="0.3"/>
  <cols>
    <col min="2" max="2" width="16.33203125" customWidth="1"/>
    <col min="3" max="3" width="27.44140625" customWidth="1"/>
    <col min="4" max="4" width="27.6640625" customWidth="1"/>
    <col min="5" max="5" width="29.5546875" customWidth="1"/>
    <col min="6" max="7" width="30.44140625" customWidth="1"/>
    <col min="8" max="8" width="30.6640625" customWidth="1"/>
  </cols>
  <sheetData>
    <row r="2" spans="2:11" ht="21" x14ac:dyDescent="0.3">
      <c r="B2" s="198"/>
      <c r="C2" s="198"/>
      <c r="D2" s="198"/>
      <c r="E2" s="198"/>
      <c r="F2" s="198"/>
      <c r="G2" s="198"/>
      <c r="H2" s="198"/>
    </row>
    <row r="3" spans="2:11" ht="24" customHeight="1" x14ac:dyDescent="0.3">
      <c r="B3" s="34"/>
      <c r="C3" s="32"/>
      <c r="D3" s="32"/>
      <c r="E3" s="32"/>
      <c r="F3" s="32"/>
      <c r="G3" s="32"/>
      <c r="H3" s="32"/>
    </row>
    <row r="4" spans="2:11" ht="19.5" customHeight="1" x14ac:dyDescent="0.3">
      <c r="B4" s="35"/>
      <c r="C4" s="35"/>
      <c r="D4" s="35"/>
      <c r="E4" s="35"/>
      <c r="F4" s="35"/>
      <c r="G4" s="35"/>
      <c r="H4" s="35"/>
    </row>
    <row r="5" spans="2:11" ht="17.399999999999999" x14ac:dyDescent="0.3">
      <c r="B5" s="16"/>
      <c r="C5" s="16"/>
      <c r="D5" s="16"/>
      <c r="E5" s="16"/>
      <c r="F5" s="16"/>
      <c r="G5" s="16"/>
      <c r="H5" s="16"/>
    </row>
    <row r="6" spans="2:11" ht="17.399999999999999" x14ac:dyDescent="0.3">
      <c r="B6" s="35"/>
      <c r="C6" s="35"/>
      <c r="D6" s="35"/>
      <c r="E6" s="35"/>
      <c r="F6" s="35"/>
      <c r="G6" s="35"/>
      <c r="H6" s="35"/>
      <c r="K6" s="6" t="s">
        <v>14</v>
      </c>
    </row>
    <row r="7" spans="2:11" ht="18" thickBot="1" x14ac:dyDescent="0.35">
      <c r="B7" s="16"/>
      <c r="C7" s="16"/>
      <c r="D7" s="16"/>
      <c r="E7" s="16"/>
      <c r="F7" s="16"/>
      <c r="G7" s="16"/>
      <c r="H7" s="16"/>
      <c r="K7" s="4" t="s">
        <v>52</v>
      </c>
    </row>
    <row r="8" spans="2:11" ht="18" thickTop="1" x14ac:dyDescent="0.3">
      <c r="B8" s="35"/>
      <c r="C8" s="35"/>
      <c r="D8" s="35"/>
      <c r="E8" s="35"/>
      <c r="F8" s="35"/>
      <c r="G8" s="35"/>
      <c r="H8" s="35"/>
    </row>
    <row r="9" spans="2:11" ht="18" thickBot="1" x14ac:dyDescent="0.35">
      <c r="B9" s="36"/>
      <c r="C9" s="36"/>
      <c r="D9" s="36"/>
      <c r="E9" s="36"/>
      <c r="F9" s="36"/>
      <c r="G9" s="36"/>
      <c r="H9" s="36"/>
      <c r="K9" s="6" t="s">
        <v>43</v>
      </c>
    </row>
    <row r="10" spans="2:11" ht="22.2" thickTop="1" thickBot="1" x14ac:dyDescent="0.35">
      <c r="B10" s="114" t="s">
        <v>127</v>
      </c>
      <c r="C10" s="115"/>
      <c r="D10" s="115"/>
      <c r="E10" s="115"/>
      <c r="F10" s="115"/>
      <c r="G10" s="115"/>
      <c r="H10" s="116"/>
      <c r="K10" s="4" t="s">
        <v>48</v>
      </c>
    </row>
    <row r="11" spans="2:11" ht="18.600000000000001" thickTop="1" thickBot="1" x14ac:dyDescent="0.35">
      <c r="B11" s="1"/>
      <c r="C11" s="2" t="s">
        <v>301</v>
      </c>
      <c r="D11" s="2" t="s">
        <v>302</v>
      </c>
      <c r="E11" s="2" t="s">
        <v>303</v>
      </c>
      <c r="F11" s="2" t="s">
        <v>304</v>
      </c>
      <c r="G11" s="2" t="s">
        <v>306</v>
      </c>
      <c r="H11" s="2" t="s">
        <v>305</v>
      </c>
    </row>
    <row r="12" spans="2:11" ht="18" customHeight="1" thickTop="1" x14ac:dyDescent="0.3">
      <c r="B12" s="11" t="s">
        <v>5</v>
      </c>
      <c r="C12" s="6" t="s">
        <v>62</v>
      </c>
      <c r="D12" s="11" t="s">
        <v>61</v>
      </c>
      <c r="E12" s="6" t="s">
        <v>65</v>
      </c>
      <c r="F12" s="6" t="s">
        <v>61</v>
      </c>
      <c r="G12" s="6" t="s">
        <v>61</v>
      </c>
      <c r="H12" s="202" t="s">
        <v>313</v>
      </c>
    </row>
    <row r="13" spans="2:11" ht="18" thickBot="1" x14ac:dyDescent="0.35">
      <c r="B13" s="3" t="s">
        <v>300</v>
      </c>
      <c r="C13" s="4" t="s">
        <v>35</v>
      </c>
      <c r="D13" s="3" t="s">
        <v>79</v>
      </c>
      <c r="E13" s="3" t="s">
        <v>48</v>
      </c>
      <c r="F13" s="3" t="s">
        <v>8</v>
      </c>
      <c r="G13" s="3" t="s">
        <v>8</v>
      </c>
      <c r="H13" s="203"/>
      <c r="K13" s="6" t="s">
        <v>34</v>
      </c>
    </row>
    <row r="14" spans="2:11" ht="18.600000000000001" thickTop="1" thickBot="1" x14ac:dyDescent="0.35">
      <c r="B14" s="11" t="s">
        <v>12</v>
      </c>
      <c r="C14" s="6" t="s">
        <v>62</v>
      </c>
      <c r="D14" s="11" t="s">
        <v>61</v>
      </c>
      <c r="E14" s="11" t="s">
        <v>65</v>
      </c>
      <c r="F14" s="6" t="s">
        <v>62</v>
      </c>
      <c r="G14" s="6" t="s">
        <v>65</v>
      </c>
      <c r="H14" s="203"/>
      <c r="K14" s="4" t="s">
        <v>38</v>
      </c>
    </row>
    <row r="15" spans="2:11" ht="18.600000000000001" thickTop="1" thickBot="1" x14ac:dyDescent="0.35">
      <c r="B15" s="3" t="s">
        <v>296</v>
      </c>
      <c r="C15" s="4" t="s">
        <v>35</v>
      </c>
      <c r="D15" s="3" t="s">
        <v>79</v>
      </c>
      <c r="E15" s="3" t="s">
        <v>48</v>
      </c>
      <c r="F15" s="4" t="s">
        <v>291</v>
      </c>
      <c r="G15" s="4" t="s">
        <v>256</v>
      </c>
      <c r="H15" s="204"/>
    </row>
    <row r="16" spans="2:11" ht="15.6" thickTop="1" thickBot="1" x14ac:dyDescent="0.35">
      <c r="B16" s="33"/>
      <c r="C16" s="33"/>
      <c r="D16" s="33"/>
      <c r="E16" s="33"/>
      <c r="F16" s="33"/>
      <c r="G16" s="33"/>
      <c r="H16" s="33"/>
    </row>
    <row r="17" spans="2:8" ht="22.2" thickTop="1" thickBot="1" x14ac:dyDescent="0.35">
      <c r="B17" s="114" t="s">
        <v>307</v>
      </c>
      <c r="C17" s="115"/>
      <c r="D17" s="115"/>
      <c r="E17" s="115"/>
      <c r="F17" s="115"/>
      <c r="G17" s="115"/>
      <c r="H17" s="116"/>
    </row>
    <row r="18" spans="2:8" ht="18.600000000000001" thickTop="1" thickBot="1" x14ac:dyDescent="0.35">
      <c r="B18" s="1"/>
      <c r="C18" s="2" t="s">
        <v>301</v>
      </c>
      <c r="D18" s="2" t="s">
        <v>302</v>
      </c>
      <c r="E18" s="2" t="s">
        <v>303</v>
      </c>
      <c r="F18" s="2" t="s">
        <v>304</v>
      </c>
      <c r="G18" s="2" t="s">
        <v>306</v>
      </c>
      <c r="H18" s="2" t="s">
        <v>305</v>
      </c>
    </row>
    <row r="19" spans="2:8" ht="18" thickTop="1" x14ac:dyDescent="0.3">
      <c r="B19" s="11" t="s">
        <v>5</v>
      </c>
      <c r="C19" s="47" t="s">
        <v>19</v>
      </c>
      <c r="D19" s="48" t="s">
        <v>94</v>
      </c>
      <c r="E19" s="48" t="s">
        <v>94</v>
      </c>
      <c r="F19" s="48" t="s">
        <v>94</v>
      </c>
      <c r="G19" s="6" t="s">
        <v>19</v>
      </c>
      <c r="H19" s="202" t="s">
        <v>313</v>
      </c>
    </row>
    <row r="20" spans="2:8" ht="18" thickBot="1" x14ac:dyDescent="0.35">
      <c r="B20" s="3" t="s">
        <v>308</v>
      </c>
      <c r="C20" s="4" t="s">
        <v>10</v>
      </c>
      <c r="D20" s="4" t="s">
        <v>35</v>
      </c>
      <c r="E20" s="4" t="s">
        <v>47</v>
      </c>
      <c r="F20" s="4" t="s">
        <v>47</v>
      </c>
      <c r="G20" s="4" t="s">
        <v>97</v>
      </c>
      <c r="H20" s="203"/>
    </row>
    <row r="21" spans="2:8" ht="18" thickTop="1" x14ac:dyDescent="0.3">
      <c r="B21" s="11" t="s">
        <v>12</v>
      </c>
      <c r="C21" s="47" t="s">
        <v>19</v>
      </c>
      <c r="D21" s="48" t="s">
        <v>94</v>
      </c>
      <c r="E21" s="48" t="s">
        <v>94</v>
      </c>
      <c r="F21" s="48" t="s">
        <v>94</v>
      </c>
      <c r="G21" s="6" t="s">
        <v>19</v>
      </c>
      <c r="H21" s="203"/>
    </row>
    <row r="22" spans="2:8" ht="18" thickBot="1" x14ac:dyDescent="0.35">
      <c r="B22" s="3" t="s">
        <v>309</v>
      </c>
      <c r="C22" s="4" t="s">
        <v>10</v>
      </c>
      <c r="D22" s="4" t="s">
        <v>35</v>
      </c>
      <c r="E22" s="4" t="s">
        <v>47</v>
      </c>
      <c r="F22" s="4" t="s">
        <v>47</v>
      </c>
      <c r="G22" s="4" t="s">
        <v>97</v>
      </c>
      <c r="H22" s="204"/>
    </row>
    <row r="23" spans="2:8" ht="15.6" thickTop="1" thickBot="1" x14ac:dyDescent="0.35">
      <c r="B23" s="33"/>
      <c r="C23" s="33"/>
      <c r="D23" s="33"/>
      <c r="E23" s="33"/>
      <c r="F23" s="33"/>
      <c r="G23" s="33"/>
      <c r="H23" s="33"/>
    </row>
    <row r="24" spans="2:8" ht="22.2" thickTop="1" thickBot="1" x14ac:dyDescent="0.35">
      <c r="B24" s="114" t="s">
        <v>128</v>
      </c>
      <c r="C24" s="115"/>
      <c r="D24" s="115"/>
      <c r="E24" s="115"/>
      <c r="F24" s="115"/>
      <c r="G24" s="115"/>
      <c r="H24" s="116"/>
    </row>
    <row r="25" spans="2:8" ht="18.600000000000001" thickTop="1" thickBot="1" x14ac:dyDescent="0.35">
      <c r="B25" s="1"/>
      <c r="C25" s="2" t="s">
        <v>301</v>
      </c>
      <c r="D25" s="2" t="s">
        <v>302</v>
      </c>
      <c r="E25" s="2" t="s">
        <v>303</v>
      </c>
      <c r="F25" s="2" t="s">
        <v>304</v>
      </c>
      <c r="G25" s="2" t="s">
        <v>306</v>
      </c>
      <c r="H25" s="2" t="s">
        <v>305</v>
      </c>
    </row>
    <row r="26" spans="2:8" ht="18" thickTop="1" x14ac:dyDescent="0.3">
      <c r="B26" s="11" t="s">
        <v>5</v>
      </c>
      <c r="C26" s="47" t="s">
        <v>64</v>
      </c>
      <c r="D26" s="47" t="s">
        <v>78</v>
      </c>
      <c r="E26" s="48" t="s">
        <v>63</v>
      </c>
      <c r="F26" s="11" t="s">
        <v>78</v>
      </c>
      <c r="G26" s="48" t="s">
        <v>312</v>
      </c>
      <c r="H26" s="202" t="s">
        <v>313</v>
      </c>
    </row>
    <row r="27" spans="2:8" ht="18" thickBot="1" x14ac:dyDescent="0.35">
      <c r="B27" s="3" t="s">
        <v>310</v>
      </c>
      <c r="C27" s="4" t="s">
        <v>21</v>
      </c>
      <c r="D27" s="4" t="s">
        <v>27</v>
      </c>
      <c r="E27" s="51" t="s">
        <v>67</v>
      </c>
      <c r="F27" s="4" t="s">
        <v>97</v>
      </c>
      <c r="G27" s="4" t="s">
        <v>49</v>
      </c>
      <c r="H27" s="203"/>
    </row>
    <row r="28" spans="2:8" ht="18" thickTop="1" x14ac:dyDescent="0.3">
      <c r="B28" s="11" t="s">
        <v>12</v>
      </c>
      <c r="C28" s="47" t="s">
        <v>78</v>
      </c>
      <c r="D28" s="47" t="s">
        <v>64</v>
      </c>
      <c r="E28" s="48" t="s">
        <v>63</v>
      </c>
      <c r="F28" s="48" t="s">
        <v>78</v>
      </c>
      <c r="G28" s="48" t="s">
        <v>312</v>
      </c>
      <c r="H28" s="203"/>
    </row>
    <row r="29" spans="2:8" ht="18" thickBot="1" x14ac:dyDescent="0.35">
      <c r="B29" s="3" t="s">
        <v>311</v>
      </c>
      <c r="C29" s="4" t="s">
        <v>27</v>
      </c>
      <c r="D29" s="4" t="s">
        <v>21</v>
      </c>
      <c r="E29" s="4" t="s">
        <v>67</v>
      </c>
      <c r="F29" s="4" t="s">
        <v>97</v>
      </c>
      <c r="G29" s="4" t="s">
        <v>49</v>
      </c>
      <c r="H29" s="204"/>
    </row>
    <row r="30" spans="2:8" ht="15" thickTop="1" x14ac:dyDescent="0.3"/>
    <row r="34" spans="2:8" ht="15" thickBot="1" x14ac:dyDescent="0.35"/>
    <row r="35" spans="2:8" ht="22.2" thickTop="1" thickBot="1" x14ac:dyDescent="0.35">
      <c r="B35" s="114" t="s">
        <v>121</v>
      </c>
      <c r="C35" s="115"/>
      <c r="D35" s="115"/>
      <c r="E35" s="115"/>
      <c r="F35" s="115"/>
      <c r="G35" s="115"/>
      <c r="H35" s="116"/>
    </row>
    <row r="36" spans="2:8" ht="18.600000000000001" thickTop="1" thickBot="1" x14ac:dyDescent="0.35">
      <c r="B36" s="1"/>
      <c r="C36" s="2" t="s">
        <v>0</v>
      </c>
      <c r="D36" s="2" t="s">
        <v>1</v>
      </c>
      <c r="E36" s="2" t="s">
        <v>2</v>
      </c>
      <c r="F36" s="2" t="s">
        <v>3</v>
      </c>
      <c r="G36" s="2"/>
      <c r="H36" s="2" t="s">
        <v>4</v>
      </c>
    </row>
    <row r="37" spans="2:8" ht="18.600000000000001" thickTop="1" thickBot="1" x14ac:dyDescent="0.35">
      <c r="B37" s="11" t="s">
        <v>5</v>
      </c>
      <c r="C37" s="6" t="s">
        <v>61</v>
      </c>
      <c r="D37" s="6" t="s">
        <v>61</v>
      </c>
      <c r="E37" s="6" t="s">
        <v>65</v>
      </c>
      <c r="F37" s="6" t="s">
        <v>65</v>
      </c>
      <c r="G37" s="6"/>
      <c r="H37" s="6" t="s">
        <v>62</v>
      </c>
    </row>
    <row r="38" spans="2:8" ht="18" thickBot="1" x14ac:dyDescent="0.35">
      <c r="B38" s="3" t="s">
        <v>115</v>
      </c>
      <c r="C38" s="10" t="s">
        <v>91</v>
      </c>
      <c r="D38" s="10" t="s">
        <v>91</v>
      </c>
      <c r="E38" s="4" t="s">
        <v>36</v>
      </c>
      <c r="F38" s="10" t="s">
        <v>48</v>
      </c>
      <c r="G38" s="4"/>
      <c r="H38" s="4" t="s">
        <v>90</v>
      </c>
    </row>
    <row r="39" spans="2:8" ht="18.600000000000001" thickTop="1" thickBot="1" x14ac:dyDescent="0.35">
      <c r="B39" s="11" t="s">
        <v>12</v>
      </c>
      <c r="C39" s="6" t="s">
        <v>78</v>
      </c>
      <c r="D39" s="6" t="s">
        <v>78</v>
      </c>
      <c r="E39" s="6" t="s">
        <v>63</v>
      </c>
      <c r="F39" s="6" t="s">
        <v>63</v>
      </c>
      <c r="G39" s="6"/>
      <c r="H39" s="6" t="s">
        <v>40</v>
      </c>
    </row>
    <row r="40" spans="2:8" ht="18" thickBot="1" x14ac:dyDescent="0.35">
      <c r="B40" s="3" t="s">
        <v>116</v>
      </c>
      <c r="C40" s="4" t="s">
        <v>97</v>
      </c>
      <c r="D40" s="4" t="s">
        <v>97</v>
      </c>
      <c r="E40" s="10" t="s">
        <v>67</v>
      </c>
      <c r="F40" s="10" t="s">
        <v>67</v>
      </c>
      <c r="G40" s="4"/>
      <c r="H40" s="4" t="s">
        <v>49</v>
      </c>
    </row>
    <row r="41" spans="2:8" ht="19.2" thickTop="1" thickBot="1" x14ac:dyDescent="0.35">
      <c r="B41" s="199" t="s">
        <v>23</v>
      </c>
      <c r="C41" s="200"/>
      <c r="D41" s="200"/>
      <c r="E41" s="200"/>
      <c r="F41" s="200"/>
      <c r="G41" s="200"/>
      <c r="H41" s="201"/>
    </row>
    <row r="42" spans="2:8" ht="18" thickTop="1" x14ac:dyDescent="0.3">
      <c r="B42" s="11" t="s">
        <v>18</v>
      </c>
      <c r="C42" s="47" t="s">
        <v>19</v>
      </c>
      <c r="D42" s="48" t="s">
        <v>94</v>
      </c>
      <c r="E42" s="48" t="s">
        <v>94</v>
      </c>
      <c r="F42" s="48" t="s">
        <v>19</v>
      </c>
      <c r="G42" s="48"/>
      <c r="H42" s="48" t="s">
        <v>94</v>
      </c>
    </row>
    <row r="43" spans="2:8" ht="18" thickBot="1" x14ac:dyDescent="0.35">
      <c r="B43" s="3" t="s">
        <v>117</v>
      </c>
      <c r="C43" s="4" t="s">
        <v>10</v>
      </c>
      <c r="D43" s="4" t="s">
        <v>47</v>
      </c>
      <c r="E43" s="4" t="s">
        <v>47</v>
      </c>
      <c r="F43" s="4" t="s">
        <v>10</v>
      </c>
      <c r="G43" s="4"/>
      <c r="H43" s="4" t="s">
        <v>11</v>
      </c>
    </row>
    <row r="44" spans="2:8" ht="15.6" thickTop="1" thickBot="1" x14ac:dyDescent="0.35"/>
    <row r="45" spans="2:8" ht="22.2" thickTop="1" thickBot="1" x14ac:dyDescent="0.35">
      <c r="B45" s="114" t="s">
        <v>122</v>
      </c>
      <c r="C45" s="115"/>
      <c r="D45" s="115"/>
      <c r="E45" s="115"/>
      <c r="F45" s="115"/>
      <c r="G45" s="115"/>
      <c r="H45" s="116"/>
    </row>
    <row r="46" spans="2:8" ht="18.600000000000001" thickTop="1" thickBot="1" x14ac:dyDescent="0.35">
      <c r="B46" s="1"/>
      <c r="C46" s="2" t="s">
        <v>0</v>
      </c>
      <c r="D46" s="2" t="s">
        <v>1</v>
      </c>
      <c r="E46" s="2" t="s">
        <v>2</v>
      </c>
      <c r="F46" s="2" t="s">
        <v>3</v>
      </c>
      <c r="G46" s="2"/>
      <c r="H46" s="2" t="s">
        <v>4</v>
      </c>
    </row>
    <row r="47" spans="2:8" ht="18.600000000000001" thickTop="1" thickBot="1" x14ac:dyDescent="0.35">
      <c r="B47" s="11" t="s">
        <v>5</v>
      </c>
      <c r="C47" s="6" t="s">
        <v>65</v>
      </c>
      <c r="D47" s="6" t="s">
        <v>61</v>
      </c>
      <c r="E47" s="6" t="s">
        <v>61</v>
      </c>
      <c r="F47" s="6" t="s">
        <v>62</v>
      </c>
      <c r="G47" s="6"/>
      <c r="H47" s="6" t="s">
        <v>62</v>
      </c>
    </row>
    <row r="48" spans="2:8" ht="18" thickBot="1" x14ac:dyDescent="0.35">
      <c r="B48" s="3" t="s">
        <v>118</v>
      </c>
      <c r="C48" s="10" t="s">
        <v>66</v>
      </c>
      <c r="D48" s="10" t="s">
        <v>79</v>
      </c>
      <c r="E48" s="10" t="s">
        <v>79</v>
      </c>
      <c r="F48" s="4" t="s">
        <v>35</v>
      </c>
      <c r="G48" s="4"/>
      <c r="H48" s="4" t="s">
        <v>90</v>
      </c>
    </row>
    <row r="49" spans="2:8" ht="18.600000000000001" thickTop="1" thickBot="1" x14ac:dyDescent="0.35">
      <c r="B49" s="11" t="s">
        <v>12</v>
      </c>
      <c r="C49" s="6" t="s">
        <v>78</v>
      </c>
      <c r="D49" s="6" t="s">
        <v>64</v>
      </c>
      <c r="E49" s="6" t="s">
        <v>16</v>
      </c>
      <c r="F49" s="6" t="s">
        <v>78</v>
      </c>
      <c r="G49" s="6"/>
      <c r="H49" s="6" t="s">
        <v>64</v>
      </c>
    </row>
    <row r="50" spans="2:8" ht="18" thickBot="1" x14ac:dyDescent="0.35">
      <c r="B50" s="3" t="s">
        <v>119</v>
      </c>
      <c r="C50" s="4" t="s">
        <v>27</v>
      </c>
      <c r="D50" s="4" t="s">
        <v>21</v>
      </c>
      <c r="E50" s="10" t="s">
        <v>89</v>
      </c>
      <c r="F50" s="4" t="s">
        <v>27</v>
      </c>
      <c r="G50" s="4"/>
      <c r="H50" s="4" t="s">
        <v>38</v>
      </c>
    </row>
    <row r="51" spans="2:8" ht="19.2" thickTop="1" thickBot="1" x14ac:dyDescent="0.35">
      <c r="B51" s="199" t="s">
        <v>23</v>
      </c>
      <c r="C51" s="200"/>
      <c r="D51" s="200"/>
      <c r="E51" s="200"/>
      <c r="F51" s="200"/>
      <c r="G51" s="200"/>
      <c r="H51" s="201"/>
    </row>
    <row r="52" spans="2:8" ht="18" thickTop="1" x14ac:dyDescent="0.3">
      <c r="B52" s="11" t="s">
        <v>18</v>
      </c>
      <c r="C52" s="47" t="s">
        <v>19</v>
      </c>
      <c r="D52" s="47" t="s">
        <v>19</v>
      </c>
      <c r="E52" s="48" t="s">
        <v>94</v>
      </c>
      <c r="F52" s="48" t="s">
        <v>94</v>
      </c>
      <c r="G52" s="48"/>
      <c r="H52" s="48" t="s">
        <v>94</v>
      </c>
    </row>
    <row r="53" spans="2:8" ht="18" thickBot="1" x14ac:dyDescent="0.35">
      <c r="B53" s="3" t="s">
        <v>120</v>
      </c>
      <c r="C53" s="4" t="s">
        <v>93</v>
      </c>
      <c r="D53" s="4" t="s">
        <v>93</v>
      </c>
      <c r="E53" s="4" t="s">
        <v>35</v>
      </c>
      <c r="F53" s="4" t="s">
        <v>35</v>
      </c>
      <c r="G53" s="4"/>
      <c r="H53" s="4" t="s">
        <v>11</v>
      </c>
    </row>
    <row r="54" spans="2:8" ht="15" thickTop="1" x14ac:dyDescent="0.3"/>
  </sheetData>
  <mergeCells count="11">
    <mergeCell ref="B2:H2"/>
    <mergeCell ref="B10:H10"/>
    <mergeCell ref="B24:H24"/>
    <mergeCell ref="B45:H45"/>
    <mergeCell ref="B51:H51"/>
    <mergeCell ref="B35:H35"/>
    <mergeCell ref="B41:H41"/>
    <mergeCell ref="B17:H17"/>
    <mergeCell ref="H12:H15"/>
    <mergeCell ref="H19:H22"/>
    <mergeCell ref="H26:H29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20</vt:i4>
      </vt:variant>
      <vt:variant>
        <vt:lpstr>Intervalos Nomeados</vt:lpstr>
      </vt:variant>
      <vt:variant>
        <vt:i4>6</vt:i4>
      </vt:variant>
    </vt:vector>
  </HeadingPairs>
  <TitlesOfParts>
    <vt:vector size="26" baseType="lpstr">
      <vt:lpstr>TURMA ENEM</vt:lpstr>
      <vt:lpstr>TURMA ENEM (2)</vt:lpstr>
      <vt:lpstr>TURMA ENEM (4)</vt:lpstr>
      <vt:lpstr>COLÉGIO</vt:lpstr>
      <vt:lpstr>COLÉGIO (2)</vt:lpstr>
      <vt:lpstr>TURMA ENEM (3)</vt:lpstr>
      <vt:lpstr>COLÉGIO - 1ª SÉRIE</vt:lpstr>
      <vt:lpstr>COLÉGIO - 1ª SÉRIE (2)</vt:lpstr>
      <vt:lpstr>COLÉGIO - 1ª SÉRIE (3)</vt:lpstr>
      <vt:lpstr>COLÉGIO - 2ª SÉRIE (3)</vt:lpstr>
      <vt:lpstr>COLÉGIO - 3ª SÉRIE (2)</vt:lpstr>
      <vt:lpstr>COLÉGIO - 2ª SÉRIE</vt:lpstr>
      <vt:lpstr>COLÉGIO - 2ª SÉRIE (2)</vt:lpstr>
      <vt:lpstr>COLÉGIO - 3ª SÉRIE</vt:lpstr>
      <vt:lpstr>COLÉGIO (3)</vt:lpstr>
      <vt:lpstr>TURMA ENEM - ESP</vt:lpstr>
      <vt:lpstr>TURMA ENEM - ESP (2)</vt:lpstr>
      <vt:lpstr>TURMA ENEM PLUS</vt:lpstr>
      <vt:lpstr>REVISÃO URCA</vt:lpstr>
      <vt:lpstr>Curso de Férias</vt:lpstr>
      <vt:lpstr>'TURMA ENEM - ESP'!dataSem</vt:lpstr>
      <vt:lpstr>'TURMA ENEM - ESP (2)'!dataSem</vt:lpstr>
      <vt:lpstr>'TURMA ENEM (2)'!dataSem</vt:lpstr>
      <vt:lpstr>'TURMA ENEM (3)'!dataSem</vt:lpstr>
      <vt:lpstr>'TURMA ENEM (4)'!dataSem</vt:lpstr>
      <vt:lpstr>dataSem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Mariane Santos</dc:creator>
  <cp:lastModifiedBy>Marketing</cp:lastModifiedBy>
  <cp:lastPrinted>2023-03-27T17:52:06Z</cp:lastPrinted>
  <dcterms:created xsi:type="dcterms:W3CDTF">2021-04-25T16:06:29Z</dcterms:created>
  <dcterms:modified xsi:type="dcterms:W3CDTF">2023-07-08T14:12:08Z</dcterms:modified>
</cp:coreProperties>
</file>